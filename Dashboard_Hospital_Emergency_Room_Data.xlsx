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CodeBasic\Excel_Course\Excel Projects\excel_hospital_project\Hospital_Emergency_Room_Dashboard-main\"/>
    </mc:Choice>
  </mc:AlternateContent>
  <xr:revisionPtr revIDLastSave="0" documentId="13_ncr:1_{2238872A-7084-4E8F-9B7E-077FE4B8CDB9}" xr6:coauthVersionLast="47" xr6:coauthVersionMax="47" xr10:uidLastSave="{00000000-0000-0000-0000-000000000000}"/>
  <bookViews>
    <workbookView xWindow="-110" yWindow="-110" windowWidth="19420" windowHeight="10300" firstSheet="1" activeTab="1" xr2:uid="{E0F92A9D-6328-40A0-9848-214E21D232EB}"/>
  </bookViews>
  <sheets>
    <sheet name="Pivot Report" sheetId="1" r:id="rId1"/>
    <sheet name="Dashboard" sheetId="2" r:id="rId2"/>
    <sheet name="Daily ER No. of Patients" sheetId="3" r:id="rId3"/>
    <sheet name="Average wait time daily trend" sheetId="4" r:id="rId4"/>
    <sheet name="Avg Satisfaction Score" sheetId="5" r:id="rId5"/>
  </sheets>
  <definedNames>
    <definedName name="Slicer_Date__Month">#N/A</definedName>
    <definedName name="Slicer_Date__Year">#N/A</definedName>
  </definedNames>
  <calcPr calcId="191029"/>
  <customWorkbookViews>
    <customWorkbookView name="Full_View" guid="{43D69128-5FBF-4F1E-B7E6-C81745E8C0E4}" maximized="1" xWindow="-11" yWindow="-11" windowWidth="1942" windowHeight="1030" activeSheetId="2"/>
  </customWorkbookViews>
  <pivotCaches>
    <pivotCache cacheId="992" r:id="rId6"/>
    <pivotCache cacheId="995" r:id="rId7"/>
    <pivotCache cacheId="998" r:id="rId8"/>
    <pivotCache cacheId="1001" r:id="rId9"/>
    <pivotCache cacheId="1004" r:id="rId10"/>
    <pivotCache cacheId="1007" r:id="rId11"/>
    <pivotCache cacheId="1010" r:id="rId12"/>
    <pivotCache cacheId="1013" r:id="rId13"/>
    <pivotCache cacheId="1016" r:id="rId14"/>
    <pivotCache cacheId="1019" r:id="rId15"/>
    <pivotCache cacheId="1022" r:id="rId16"/>
    <pivotCache cacheId="1025" r:id="rId17"/>
  </pivotCaches>
  <extLst>
    <ext xmlns:x14="http://schemas.microsoft.com/office/spreadsheetml/2009/9/main" uri="{876F7934-8845-4945-9796-88D515C7AA90}">
      <x14:pivotCaches>
        <pivotCache cacheId="2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8a292e5-10db-49c2-b338-37c889355e4e" name="Hospital Emergency Room Data" connection="Query - Hospital Emergency Room Data"/>
          <x15:modelTable id="Calender_Table_2f0574f7-4eb4-4c17-92c3-fe76ca9bbdcb"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A47" i="1" l="1"/>
  <c r="B47" i="1"/>
  <c r="C47" i="1"/>
  <c r="B48" i="1"/>
  <c r="C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A6EF6E-A0E0-49D7-B280-B599A4113C9F}" name="Query - Calender_Table" description="Connection to the 'Calender_Table' query in the workbook." type="100" refreshedVersion="8" minRefreshableVersion="5">
    <extLst>
      <ext xmlns:x15="http://schemas.microsoft.com/office/spreadsheetml/2010/11/main" uri="{DE250136-89BD-433C-8126-D09CA5730AF9}">
        <x15:connection id="b15a7ffb-57b8-4989-888d-9e5f44a3b60b"/>
      </ext>
    </extLst>
  </connection>
  <connection id="2" xr16:uid="{F9FF3335-38FC-4470-A839-94EBA2C1C1B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ba3315a-77a5-4c49-8f5a-38c6b8f5e43b"/>
      </ext>
    </extLst>
  </connection>
  <connection id="3" xr16:uid="{860AF1D0-81AB-4756-B3AA-FBDE1FAE08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<sst xmlns="http://schemas.openxmlformats.org/spreadsheetml/2006/main" count="157" uniqueCount="79">
  <si>
    <t>Distinct Count of Patient Id</t>
  </si>
  <si>
    <t>No. of patient</t>
  </si>
  <si>
    <t>Average of Patient Waittime</t>
  </si>
  <si>
    <t>Average of Patient Satisfaction Score</t>
  </si>
  <si>
    <t>Grand Total</t>
  </si>
  <si>
    <t>Row Labels</t>
  </si>
  <si>
    <t>*Showing a daily trend with an area sparkline to spot patterns like busy days or seasonal trend.</t>
  </si>
  <si>
    <t>daily trends of number of patient</t>
  </si>
  <si>
    <t>avg wait time</t>
  </si>
  <si>
    <t>avg satisfaction score</t>
  </si>
  <si>
    <t>*Use an area sparkline to track daily changes and highlight days with longer wait times that might need improvements</t>
  </si>
  <si>
    <t>*Use an area chart to show trends, spot drops in satisfaction, and link them to busy times or challenges.</t>
  </si>
  <si>
    <t>Delay</t>
  </si>
  <si>
    <t>Ontime</t>
  </si>
  <si>
    <t>Admitted</t>
  </si>
  <si>
    <t>Not Admitted</t>
  </si>
  <si>
    <t>Count of Patient Admission Flag</t>
  </si>
  <si>
    <t>Count of Patient Admission Flag2</t>
  </si>
  <si>
    <t>Admission Status</t>
  </si>
  <si>
    <t>Number of Patients</t>
  </si>
  <si>
    <t xml:space="preserve">% Status </t>
  </si>
  <si>
    <t>Chart</t>
  </si>
  <si>
    <t>0-09</t>
  </si>
  <si>
    <t>10-19</t>
  </si>
  <si>
    <t>20-29</t>
  </si>
  <si>
    <t>30-39</t>
  </si>
  <si>
    <t>40-49</t>
  </si>
  <si>
    <t>50-59</t>
  </si>
  <si>
    <t>60-69</t>
  </si>
  <si>
    <t>70-79</t>
  </si>
  <si>
    <t>Count of Age Group</t>
  </si>
  <si>
    <t>Age group wise analysis</t>
  </si>
  <si>
    <t>Count of Patient attend status</t>
  </si>
  <si>
    <t>Attended status</t>
  </si>
  <si>
    <t>Female</t>
  </si>
  <si>
    <t>Male</t>
  </si>
  <si>
    <t>Count of Patient Gender</t>
  </si>
  <si>
    <t>Patient Gender</t>
  </si>
  <si>
    <t>Cardiology</t>
  </si>
  <si>
    <t>Gastroenterology</t>
  </si>
  <si>
    <t>General Practice</t>
  </si>
  <si>
    <t>Neurology</t>
  </si>
  <si>
    <t>None</t>
  </si>
  <si>
    <t>Orthopedics</t>
  </si>
  <si>
    <t>Physiotherapy</t>
  </si>
  <si>
    <t>Renal</t>
  </si>
  <si>
    <t>Count of Department Referral</t>
  </si>
  <si>
    <t>Column Labels</t>
  </si>
  <si>
    <t>2024</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</si>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</sst>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1"/>
      <color theme="1"/>
      <name val="Calibri"/>
      <family val="2"/>
      <scheme val="minor"/>
    </font>
    <font>
      <b/>
      <sz val="11"/>
      <color theme="0"/>
      <name val="Calibri"/>
      <family val="2"/>
      <scheme val="minor"/>
    </font>
    <font>
      <sz val="11"/>
      <color theme="0"/>
      <name val="Calibri"/>
      <family val="2"/>
      <scheme val="minor"/>
    </font>
    <font>
      <sz val="11"/>
      <color theme="1"/>
      <name val="Calibri"/>
      <family val="2"/>
      <scheme val="minor"/>
    </font>
    <font>
      <b/>
      <sz val="10"/>
      <color theme="0"/>
      <name val="Aptos Narrow"/>
      <family val="2"/>
    </font>
    <font>
      <sz val="10"/>
      <color theme="1"/>
      <name val="Aptos Narrow"/>
      <family val="2"/>
    </font>
  </fonts>
  <fills count="6">
    <fill>
      <patternFill patternType="none"/>
    </fill>
    <fill>
      <patternFill patternType="gray125"/>
    </fill>
    <fill>
      <patternFill patternType="solid">
        <fgColor theme="2" tint="-0.49998474074526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2" fillId="3" borderId="0" xfId="0" applyFont="1" applyFill="1"/>
    <xf numFmtId="0" fontId="1" fillId="3" borderId="0" xfId="0" applyFont="1" applyFill="1"/>
    <xf numFmtId="1" fontId="0" fillId="0" borderId="0" xfId="0" applyNumberFormat="1"/>
    <xf numFmtId="164" fontId="0" fillId="0" borderId="0" xfId="0" applyNumberFormat="1"/>
    <xf numFmtId="0" fontId="4" fillId="5" borderId="0" xfId="0" applyFont="1" applyFill="1" applyAlignment="1">
      <alignment horizontal="center" vertical="center"/>
    </xf>
    <xf numFmtId="0" fontId="5" fillId="4" borderId="0" xfId="0" applyFont="1" applyFill="1"/>
    <xf numFmtId="164" fontId="5" fillId="4" borderId="0" xfId="1" applyNumberFormat="1" applyFont="1" applyFill="1"/>
    <xf numFmtId="0" fontId="0" fillId="0" borderId="0" xfId="0" applyNumberFormat="1"/>
    <xf numFmtId="0" fontId="0" fillId="0" borderId="0" xfId="0" applyFill="1"/>
  </cellXfs>
  <cellStyles count="2">
    <cellStyle name="Normal" xfId="0" builtinId="0"/>
    <cellStyle name="Percent" xfId="1" builtinId="5"/>
  </cellStyles>
  <dxfs count="46">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4" formatCode="0.00%"/>
    </dxf>
    <dxf>
      <numFmt numFmtId="164" formatCode="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64" formatCode="0.0%"/>
    </dxf>
    <dxf>
      <numFmt numFmtId="14"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font>
        <b/>
        <color theme="1"/>
      </font>
      <border>
        <bottom style="thin">
          <color theme="5"/>
        </bottom>
        <vertical/>
        <horizontal/>
      </border>
    </dxf>
    <dxf>
      <font>
        <sz val="7"/>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sz val="8"/>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HERD Style" pivot="0" table="0" count="10" xr9:uid="{838A7F9B-A811-40C0-9823-F84656EA797E}">
      <tableStyleElement type="wholeTable" dxfId="45"/>
      <tableStyleElement type="headerRow" dxfId="44"/>
    </tableStyle>
    <tableStyle name="MyStyle" pivot="0" table="0" count="10" xr9:uid="{10DE0B28-05EA-42B4-BFED-6F99A1D9DD26}">
      <tableStyleElement type="wholeTable" dxfId="43"/>
      <tableStyleElement type="headerRow" dxfId="4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RD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[Dashboard_Hospital_Emergency_Room_Data.xlsx]Pivot Report!PivotTable5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fld id="{170D072E-D1FD-47C5-8AA1-D1198CE2E046}" type="CELLRANGE">
                  <a:rPr lang="en-US"/>
                  <a:pPr>
                    <a:defRPr sz="4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fld id="{F3C235A7-AADF-4181-A3CE-B75BBAF90AE5}" type="CELLRANGE">
                  <a:rPr lang="en-US"/>
                  <a:pPr>
                    <a:defRPr sz="4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5"/>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fld id="{170D072E-D1FD-47C5-8AA1-D1198CE2E046}" type="CELLRANGE">
                  <a:rPr lang="en-US"/>
                  <a:pPr>
                    <a:defRPr sz="4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6"/>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fld id="{F3C235A7-AADF-4181-A3CE-B75BBAF90AE5}" type="CELLRANGE">
                  <a:rPr lang="en-US"/>
                  <a:pPr>
                    <a:defRPr sz="4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9"/>
        <c:spPr>
          <a:solidFill>
            <a:schemeClr val="accent1"/>
          </a:solidFill>
          <a:ln>
            <a:noFill/>
          </a:ln>
          <a:effectLst/>
        </c:spPr>
        <c:dLbl>
          <c:idx val="0"/>
          <c:spPr>
            <a:noFill/>
            <a:ln>
              <a:noFill/>
            </a:ln>
            <a:effectLst/>
          </c:spPr>
          <c:txPr>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0"/>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fld id="{8E55C751-C2F9-4A70-B6CE-744C4E6B8333}" type="CELLRANGE">
                  <a:rPr lang="en-US"/>
                  <a:pPr>
                    <a:defRPr sz="500" b="1">
                      <a:solidFill>
                        <a:schemeClr val="tx1">
                          <a:lumMod val="75000"/>
                          <a:lumOff val="25000"/>
                        </a:schemeClr>
                      </a:solidFill>
                      <a:latin typeface="Aptos Narrow" panose="020B0004020202020204" pitchFamily="34" charset="0"/>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790561405131027E-2"/>
          <c:y val="2.9411023622047245E-2"/>
          <c:w val="0.98120943859486898"/>
          <c:h val="0.96459061038422833"/>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dPt>
            <c:idx val="0"/>
            <c:invertIfNegative val="0"/>
            <c:bubble3D val="0"/>
          </c:dPt>
          <c:dLbls>
            <c:spPr>
              <a:noFill/>
              <a:ln>
                <a:noFill/>
              </a:ln>
              <a:effectLst/>
            </c:spPr>
            <c:txPr>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Report'!$A$39:$A$41</c:f>
              <c:strCache>
                <c:ptCount val="2"/>
                <c:pt idx="0">
                  <c:v>Admitted</c:v>
                </c:pt>
                <c:pt idx="1">
                  <c:v>Not Admitted</c:v>
                </c:pt>
              </c:strCache>
            </c:strRef>
          </c:cat>
          <c:val>
            <c:numRef>
              <c:f>'Pivot Report'!$B$39:$B$41</c:f>
              <c:numCache>
                <c:formatCode>0</c:formatCode>
                <c:ptCount val="2"/>
                <c:pt idx="0">
                  <c:v>247</c:v>
                </c:pt>
                <c:pt idx="1">
                  <c:v>224</c:v>
                </c:pt>
              </c:numCache>
            </c:numRef>
          </c:val>
          <c:extLst>
            <c:ext xmlns:c16="http://schemas.microsoft.com/office/drawing/2014/chart" uri="{C3380CC4-5D6E-409C-BE32-E72D297353CC}">
              <c16:uniqueId val="{00000006-63EF-435C-88FA-7C31F6FED16C}"/>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c:formatCode>
                <c:ptCount val="2"/>
                <c:pt idx="0">
                  <c:v>0.52441613588110403</c:v>
                </c:pt>
                <c:pt idx="1">
                  <c:v>0.47558386411889597</c:v>
                </c:pt>
              </c:numCache>
            </c:numRef>
          </c:val>
          <c:extLst>
            <c:ext xmlns:c16="http://schemas.microsoft.com/office/drawing/2014/chart" uri="{C3380CC4-5D6E-409C-BE32-E72D297353CC}">
              <c16:uniqueId val="{00000007-63EF-435C-88FA-7C31F6FED16C}"/>
            </c:ext>
          </c:extLst>
        </c:ser>
        <c:dLbls>
          <c:showLegendKey val="0"/>
          <c:showVal val="0"/>
          <c:showCatName val="0"/>
          <c:showSerName val="0"/>
          <c:showPercent val="0"/>
          <c:showBubbleSize val="0"/>
        </c:dLbls>
        <c:gapWidth val="50"/>
        <c:axId val="1670912720"/>
        <c:axId val="1670913200"/>
      </c:barChart>
      <c:catAx>
        <c:axId val="1670912720"/>
        <c:scaling>
          <c:orientation val="minMax"/>
        </c:scaling>
        <c:delete val="1"/>
        <c:axPos val="l"/>
        <c:numFmt formatCode="General" sourceLinked="1"/>
        <c:majorTickMark val="none"/>
        <c:minorTickMark val="none"/>
        <c:tickLblPos val="nextTo"/>
        <c:crossAx val="1670913200"/>
        <c:crosses val="autoZero"/>
        <c:auto val="1"/>
        <c:lblAlgn val="ctr"/>
        <c:lblOffset val="100"/>
        <c:noMultiLvlLbl val="0"/>
      </c:catAx>
      <c:valAx>
        <c:axId val="1670913200"/>
        <c:scaling>
          <c:orientation val="minMax"/>
        </c:scaling>
        <c:delete val="1"/>
        <c:axPos val="b"/>
        <c:numFmt formatCode="0" sourceLinked="1"/>
        <c:majorTickMark val="none"/>
        <c:minorTickMark val="none"/>
        <c:tickLblPos val="nextTo"/>
        <c:crossAx val="167091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[Dashboard_Hospital_Emergency_Room_Data.xlsx]Pivot Report!PivotTable5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fld id="{170D072E-D1FD-47C5-8AA1-D1198CE2E046}" type="CELLRANGE">
                  <a:rPr lang="en-US"/>
                  <a:pPr>
                    <a:defRPr sz="4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fld id="{F3C235A7-AADF-4181-A3CE-B75BBAF90AE5}" type="CELLRANGE">
                  <a:rPr lang="en-US"/>
                  <a:pPr>
                    <a:defRPr sz="4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5"/>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fld id="{170D072E-D1FD-47C5-8AA1-D1198CE2E046}" type="CELLRANGE">
                  <a:rPr lang="en-US"/>
                  <a:pPr>
                    <a:defRPr sz="4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6"/>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fld id="{F3C235A7-AADF-4181-A3CE-B75BBAF90AE5}" type="CELLRANGE">
                  <a:rPr lang="en-US"/>
                  <a:pPr>
                    <a:defRPr sz="4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9"/>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fld id="{CCDCCA58-642F-4195-882E-61147DB8DE56}" type="CELLRANGE">
                  <a:rPr lang="en-US" sz="500"/>
                  <a:pPr>
                    <a:defRPr sz="500" b="1" i="0" u="none" strike="noStrike" kern="1200" baseline="0">
                      <a:solidFill>
                        <a:schemeClr val="tx1">
                          <a:lumMod val="75000"/>
                          <a:lumOff val="25000"/>
                        </a:schemeClr>
                      </a:solidFill>
                      <a:latin typeface="Aptos Narrow" panose="020B0004020202020204" pitchFamily="34" charset="0"/>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0"/>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fld id="{CA6ABFB3-EC7E-4A72-A834-C5A86FF98AF1}" type="CELLRANGE">
                  <a:rPr lang="en-IN"/>
                  <a:pPr>
                    <a:defRPr sz="500" b="1" i="0" u="none" strike="noStrike" kern="1200" baseline="0">
                      <a:solidFill>
                        <a:schemeClr val="tx1">
                          <a:lumMod val="75000"/>
                          <a:lumOff val="25000"/>
                        </a:schemeClr>
                      </a:solidFill>
                      <a:latin typeface="Aptos Narrow" panose="020B0004020202020204" pitchFamily="34" charset="0"/>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3"/>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fld id="{CCDCCA58-642F-4195-882E-61147DB8DE56}" type="CELLRANGE">
                  <a:rPr lang="en-US" sz="500"/>
                  <a:pPr>
                    <a:defRPr sz="500" b="1" i="0" u="none" strike="noStrike" kern="1200" baseline="0">
                      <a:solidFill>
                        <a:schemeClr val="tx1">
                          <a:lumMod val="75000"/>
                          <a:lumOff val="25000"/>
                        </a:schemeClr>
                      </a:solidFill>
                      <a:latin typeface="Aptos Narrow" panose="020B0004020202020204" pitchFamily="34" charset="0"/>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fld id="{8E973122-E45D-4218-9C75-438991129861}" type="CELLRANGE">
                  <a:rPr lang="en-IN"/>
                  <a:pPr>
                    <a:defRPr sz="500" b="1" i="0" u="none" strike="noStrike" kern="1200" baseline="0">
                      <a:solidFill>
                        <a:schemeClr val="tx1">
                          <a:lumMod val="75000"/>
                          <a:lumOff val="25000"/>
                        </a:schemeClr>
                      </a:solidFill>
                      <a:latin typeface="Aptos Narrow" panose="020B0004020202020204" pitchFamily="34" charset="0"/>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500" b="1" i="0" u="none" strike="noStrike" kern="1200" baseline="0">
                  <a:solidFill>
                    <a:schemeClr val="tx1">
                      <a:lumMod val="75000"/>
                      <a:lumOff val="25000"/>
                    </a:schemeClr>
                  </a:solidFill>
                  <a:latin typeface="Aptos Narrow" panose="020B0004020202020204" pitchFamily="34" charset="0"/>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s>
    <c:plotArea>
      <c:layout>
        <c:manualLayout>
          <c:layoutTarget val="inner"/>
          <c:xMode val="edge"/>
          <c:yMode val="edge"/>
          <c:x val="1.8790561405131027E-2"/>
          <c:y val="2.9411023622047245E-2"/>
          <c:w val="0.98120943859486898"/>
          <c:h val="0.96459061038422833"/>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dPt>
            <c:idx val="0"/>
            <c:invertIfNegative val="0"/>
            <c:bubble3D val="0"/>
          </c:dPt>
          <c:cat>
            <c:strRef>
              <c:f>'Pivot Report'!$A$39:$A$41</c:f>
              <c:strCache>
                <c:ptCount val="2"/>
                <c:pt idx="0">
                  <c:v>Admitted</c:v>
                </c:pt>
                <c:pt idx="1">
                  <c:v>Not Admitted</c:v>
                </c:pt>
              </c:strCache>
            </c:strRef>
          </c:cat>
          <c:val>
            <c:numRef>
              <c:f>'Pivot Report'!$B$39:$B$41</c:f>
              <c:numCache>
                <c:formatCode>0</c:formatCode>
                <c:ptCount val="2"/>
                <c:pt idx="0">
                  <c:v>247</c:v>
                </c:pt>
                <c:pt idx="1">
                  <c:v>224</c:v>
                </c:pt>
              </c:numCache>
            </c:numRef>
          </c:val>
          <c:extLst>
            <c:ext xmlns:c16="http://schemas.microsoft.com/office/drawing/2014/chart" uri="{C3380CC4-5D6E-409C-BE32-E72D297353CC}">
              <c16:uniqueId val="{00000006-9197-49E4-B1A1-1BB491B63DA9}"/>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c:formatCode>
                <c:ptCount val="2"/>
                <c:pt idx="0">
                  <c:v>0.52441613588110403</c:v>
                </c:pt>
                <c:pt idx="1">
                  <c:v>0.47558386411889597</c:v>
                </c:pt>
              </c:numCache>
            </c:numRef>
          </c:val>
          <c:extLst>
            <c:ext xmlns:c16="http://schemas.microsoft.com/office/drawing/2014/chart" uri="{C3380CC4-5D6E-409C-BE32-E72D297353CC}">
              <c16:uniqueId val="{00000007-9197-49E4-B1A1-1BB491B63DA9}"/>
            </c:ext>
          </c:extLst>
        </c:ser>
        <c:dLbls>
          <c:dLblPos val="outEnd"/>
          <c:showLegendKey val="0"/>
          <c:showVal val="0"/>
          <c:showCatName val="0"/>
          <c:showSerName val="0"/>
          <c:showPercent val="0"/>
          <c:showBubbleSize val="0"/>
        </c:dLbls>
        <c:gapWidth val="50"/>
        <c:axId val="1670912720"/>
        <c:axId val="1670913200"/>
      </c:barChart>
      <c:catAx>
        <c:axId val="1670912720"/>
        <c:scaling>
          <c:orientation val="minMax"/>
        </c:scaling>
        <c:delete val="1"/>
        <c:axPos val="l"/>
        <c:numFmt formatCode="General" sourceLinked="1"/>
        <c:majorTickMark val="none"/>
        <c:minorTickMark val="none"/>
        <c:tickLblPos val="nextTo"/>
        <c:crossAx val="1670913200"/>
        <c:crosses val="autoZero"/>
        <c:auto val="1"/>
        <c:lblAlgn val="ctr"/>
        <c:lblOffset val="100"/>
        <c:noMultiLvlLbl val="0"/>
      </c:catAx>
      <c:valAx>
        <c:axId val="1670913200"/>
        <c:scaling>
          <c:orientation val="minMax"/>
        </c:scaling>
        <c:delete val="1"/>
        <c:axPos val="b"/>
        <c:numFmt formatCode="0" sourceLinked="1"/>
        <c:majorTickMark val="none"/>
        <c:minorTickMark val="none"/>
        <c:tickLblPos val="nextTo"/>
        <c:crossAx val="167091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[Dashboard_Hospital_Emergency_Room_Data.xlsx]Pivot Report!PivotTable6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324200913242004E-3"/>
          <c:y val="9.0909090909090912E-2"/>
          <c:w val="0.9908675799086758"/>
          <c:h val="0.90909090909090906"/>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Report'!$H$5:$H$35</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3-29A5-4D46-87CE-6040AEA7B1EA}"/>
            </c:ext>
          </c:extLst>
        </c:ser>
        <c:dLbls>
          <c:showLegendKey val="0"/>
          <c:showVal val="0"/>
          <c:showCatName val="0"/>
          <c:showSerName val="0"/>
          <c:showPercent val="0"/>
          <c:showBubbleSize val="0"/>
        </c:dLbls>
        <c:axId val="646930287"/>
        <c:axId val="646943727"/>
      </c:areaChart>
      <c:catAx>
        <c:axId val="646930287"/>
        <c:scaling>
          <c:orientation val="minMax"/>
        </c:scaling>
        <c:delete val="1"/>
        <c:axPos val="b"/>
        <c:numFmt formatCode="General" sourceLinked="1"/>
        <c:majorTickMark val="out"/>
        <c:minorTickMark val="none"/>
        <c:tickLblPos val="nextTo"/>
        <c:crossAx val="646943727"/>
        <c:crosses val="autoZero"/>
        <c:auto val="1"/>
        <c:lblAlgn val="ctr"/>
        <c:lblOffset val="100"/>
        <c:noMultiLvlLbl val="0"/>
      </c:catAx>
      <c:valAx>
        <c:axId val="646943727"/>
        <c:scaling>
          <c:orientation val="minMax"/>
        </c:scaling>
        <c:delete val="1"/>
        <c:axPos val="l"/>
        <c:numFmt formatCode="0.00" sourceLinked="1"/>
        <c:majorTickMark val="none"/>
        <c:minorTickMark val="none"/>
        <c:tickLblPos val="nextTo"/>
        <c:crossAx val="64693028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[Dashboard_Hospital_Emergency_Room_Data.xlsx]Pivot Report!PivotTable8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Report'!$K$5:$K$35</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3-E522-4ABB-A8AB-2B78443CA00E}"/>
            </c:ext>
          </c:extLst>
        </c:ser>
        <c:dLbls>
          <c:showLegendKey val="0"/>
          <c:showVal val="0"/>
          <c:showCatName val="0"/>
          <c:showSerName val="0"/>
          <c:showPercent val="0"/>
          <c:showBubbleSize val="0"/>
        </c:dLbls>
        <c:axId val="1569096767"/>
        <c:axId val="1569084287"/>
      </c:areaChart>
      <c:catAx>
        <c:axId val="1569096767"/>
        <c:scaling>
          <c:orientation val="minMax"/>
        </c:scaling>
        <c:delete val="1"/>
        <c:axPos val="b"/>
        <c:numFmt formatCode="General" sourceLinked="1"/>
        <c:majorTickMark val="out"/>
        <c:minorTickMark val="none"/>
        <c:tickLblPos val="nextTo"/>
        <c:crossAx val="1569084287"/>
        <c:crosses val="autoZero"/>
        <c:auto val="1"/>
        <c:lblAlgn val="ctr"/>
        <c:lblOffset val="100"/>
        <c:noMultiLvlLbl val="0"/>
      </c:catAx>
      <c:valAx>
        <c:axId val="1569084287"/>
        <c:scaling>
          <c:orientation val="minMax"/>
        </c:scaling>
        <c:delete val="1"/>
        <c:axPos val="l"/>
        <c:numFmt formatCode="0.00" sourceLinked="1"/>
        <c:majorTickMark val="out"/>
        <c:minorTickMark val="none"/>
        <c:tickLblPos val="nextTo"/>
        <c:crossAx val="15690967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[Dashboard_Hospital_Emergency_Room_Data.xlsx]Pivot Report!PivotTable4</c:name>
    <c:fmtId val="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8675196850393701E-2"/>
          <c:w val="0.99141630901287559"/>
          <c:h val="0.98132506164002231"/>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Report'!$E$5:$E$35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3-0CDC-4B57-9159-F64B0C2BFA18}"/>
            </c:ext>
          </c:extLst>
        </c:ser>
        <c:dLbls>
          <c:showLegendKey val="0"/>
          <c:showVal val="0"/>
          <c:showCatName val="0"/>
          <c:showSerName val="0"/>
          <c:showPercent val="0"/>
          <c:showBubbleSize val="0"/>
        </c:dLbls>
        <c:axId val="75950463"/>
        <c:axId val="75949503"/>
      </c:areaChart>
      <c:catAx>
        <c:axId val="75950463"/>
        <c:scaling>
          <c:orientation val="minMax"/>
        </c:scaling>
        <c:delete val="1"/>
        <c:axPos val="b"/>
        <c:numFmt formatCode="General" sourceLinked="1"/>
        <c:majorTickMark val="out"/>
        <c:minorTickMark val="none"/>
        <c:tickLblPos val="nextTo"/>
        <c:crossAx val="75949503"/>
        <c:crosses val="autoZero"/>
        <c:auto val="1"/>
        <c:lblAlgn val="ctr"/>
        <c:lblOffset val="100"/>
        <c:noMultiLvlLbl val="0"/>
      </c:catAx>
      <c:valAx>
        <c:axId val="75949503"/>
        <c:scaling>
          <c:orientation val="minMax"/>
        </c:scaling>
        <c:delete val="1"/>
        <c:axPos val="l"/>
        <c:numFmt formatCode="General" sourceLinked="1"/>
        <c:majorTickMark val="none"/>
        <c:minorTickMark val="none"/>
        <c:tickLblPos val="nextTo"/>
        <c:crossAx val="75950463"/>
        <c:crosses val="autoZero"/>
        <c:crossBetween val="midCat"/>
      </c:valAx>
      <c:spPr>
        <a:noFill/>
        <a:ln w="25400">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[Dashboard_Hospital_Emergency_Room_Data.xlsx]Pivot Report!PivotTable9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16216933557468E-2"/>
          <c:y val="6.4516129032258063E-2"/>
          <c:w val="0.92515681677430772"/>
          <c:h val="0.68402133604267212"/>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77</c:v>
                </c:pt>
                <c:pt idx="1">
                  <c:v>50</c:v>
                </c:pt>
                <c:pt idx="2">
                  <c:v>67</c:v>
                </c:pt>
                <c:pt idx="3">
                  <c:v>53</c:v>
                </c:pt>
                <c:pt idx="4">
                  <c:v>59</c:v>
                </c:pt>
                <c:pt idx="5">
                  <c:v>59</c:v>
                </c:pt>
                <c:pt idx="6">
                  <c:v>48</c:v>
                </c:pt>
                <c:pt idx="7">
                  <c:v>58</c:v>
                </c:pt>
              </c:numCache>
            </c:numRef>
          </c:val>
          <c:extLst>
            <c:ext xmlns:c16="http://schemas.microsoft.com/office/drawing/2014/chart" uri="{C3380CC4-5D6E-409C-BE32-E72D297353CC}">
              <c16:uniqueId val="{00000003-80CE-4C9B-B5DE-1C709A855742}"/>
            </c:ext>
          </c:extLst>
        </c:ser>
        <c:dLbls>
          <c:showLegendKey val="0"/>
          <c:showVal val="0"/>
          <c:showCatName val="0"/>
          <c:showSerName val="0"/>
          <c:showPercent val="0"/>
          <c:showBubbleSize val="0"/>
        </c:dLbls>
        <c:gapWidth val="219"/>
        <c:overlap val="-27"/>
        <c:axId val="1933909904"/>
        <c:axId val="1933910384"/>
      </c:barChart>
      <c:catAx>
        <c:axId val="193390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33910384"/>
        <c:crosses val="autoZero"/>
        <c:auto val="1"/>
        <c:lblAlgn val="ctr"/>
        <c:lblOffset val="100"/>
        <c:noMultiLvlLbl val="0"/>
      </c:catAx>
      <c:valAx>
        <c:axId val="19339103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3390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[Dashboard_Hospital_Emergency_Room_Data.xlsx]Pivot Report!PivotTable10</c:name>
    <c:fmtId val="19"/>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4203060884995009"/>
          <c:y val="0.17219422572178478"/>
          <c:w val="0.72068093600975947"/>
          <c:h val="0.82780577427821522"/>
        </c:manualLayout>
      </c:layout>
      <c:pieChart>
        <c:varyColors val="1"/>
        <c:ser>
          <c:idx val="0"/>
          <c:order val="0"/>
          <c:tx>
            <c:strRef>
              <c:f>'Pivot Report'!$B$66</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Report'!$A$67:$A$69</c:f>
              <c:strCache>
                <c:ptCount val="2"/>
                <c:pt idx="0">
                  <c:v>Delay</c:v>
                </c:pt>
                <c:pt idx="1">
                  <c:v>Ontime</c:v>
                </c:pt>
              </c:strCache>
            </c:strRef>
          </c:cat>
          <c:val>
            <c:numRef>
              <c:f>'Pivot Report'!$B$67:$B$69</c:f>
              <c:numCache>
                <c:formatCode>0</c:formatCode>
                <c:ptCount val="2"/>
                <c:pt idx="0">
                  <c:v>262</c:v>
                </c:pt>
                <c:pt idx="1">
                  <c:v>209</c:v>
                </c:pt>
              </c:numCache>
            </c:numRef>
          </c:val>
          <c:extLst>
            <c:ext xmlns:c16="http://schemas.microsoft.com/office/drawing/2014/chart" uri="{C3380CC4-5D6E-409C-BE32-E72D297353CC}">
              <c16:uniqueId val="{00000007-95A8-4666-9520-C7611C73C010}"/>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7421537096595072E-3"/>
          <c:y val="1.0406824146981463E-3"/>
          <c:w val="0.30431344094168555"/>
          <c:h val="0.306820329277022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[Dashboard_Hospital_Emergency_Room_Data.xlsx]Pivot Report!PivotTable7</c:name>
    <c:fmtId val="29"/>
  </c:pivotSource>
  <c:chart>
    <c:autoTitleDeleted val="1"/>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w="9525">
              <a:noFill/>
            </a:ln>
            <a:effectLst/>
          </c:spPr>
          <c:txPr>
            <a:bodyPr rot="0" spcFirstLastPara="1" vertOverflow="clip" horzOverflow="clip" vert="horz" wrap="non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6294317939987235"/>
          <c:y val="0.1223299497201404"/>
          <c:w val="0.69738774207278142"/>
          <c:h val="0.82902317933149927"/>
        </c:manualLayout>
      </c:layout>
      <c:doughnutChart>
        <c:varyColors val="1"/>
        <c:ser>
          <c:idx val="0"/>
          <c:order val="0"/>
          <c:tx>
            <c:strRef>
              <c:f>'Pivot Report'!$B$72</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w="9525">
                <a:noFill/>
              </a:ln>
              <a:effectLst/>
            </c:spPr>
            <c:txPr>
              <a:bodyPr rot="0" spcFirstLastPara="1" vertOverflow="clip" horzOverflow="clip" vert="horz" wrap="non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Report'!$A$73:$A$75</c:f>
              <c:strCache>
                <c:ptCount val="2"/>
                <c:pt idx="0">
                  <c:v>Female</c:v>
                </c:pt>
                <c:pt idx="1">
                  <c:v>Male</c:v>
                </c:pt>
              </c:strCache>
            </c:strRef>
          </c:cat>
          <c:val>
            <c:numRef>
              <c:f>'Pivot Report'!$B$73:$B$75</c:f>
              <c:numCache>
                <c:formatCode>0</c:formatCode>
                <c:ptCount val="2"/>
                <c:pt idx="0">
                  <c:v>227</c:v>
                </c:pt>
                <c:pt idx="1">
                  <c:v>244</c:v>
                </c:pt>
              </c:numCache>
            </c:numRef>
          </c:val>
          <c:extLst>
            <c:ext xmlns:c16="http://schemas.microsoft.com/office/drawing/2014/chart" uri="{C3380CC4-5D6E-409C-BE32-E72D297353CC}">
              <c16:uniqueId val="{00000007-94DC-4A80-8569-B5F9EE7FB1DF}"/>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r"/>
      <c:layout>
        <c:manualLayout>
          <c:xMode val="edge"/>
          <c:yMode val="edge"/>
          <c:x val="5.2383485848052826E-3"/>
          <c:y val="5.7815689705455859E-4"/>
          <c:w val="0.28106756801041166"/>
          <c:h val="0.286018951020952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[Dashboard_Hospital_Emergency_Room_Data.xlsx]Pivot Report!PivotTable11</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65862157453303"/>
          <c:y val="9.6654275092936809E-2"/>
          <c:w val="0.73519914641887618"/>
          <c:h val="0.7658858999502387"/>
        </c:manualLayout>
      </c:layout>
      <c:barChart>
        <c:barDir val="bar"/>
        <c:grouping val="clustered"/>
        <c:varyColors val="0"/>
        <c:ser>
          <c:idx val="0"/>
          <c:order val="0"/>
          <c:tx>
            <c:strRef>
              <c:f>'Pivot Report'!$B$78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Report'!$A$79:$A$87</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Report'!$B$79:$B$87</c:f>
              <c:numCache>
                <c:formatCode>0</c:formatCode>
                <c:ptCount val="8"/>
                <c:pt idx="0">
                  <c:v>1</c:v>
                </c:pt>
                <c:pt idx="1">
                  <c:v>9</c:v>
                </c:pt>
                <c:pt idx="2">
                  <c:v>13</c:v>
                </c:pt>
                <c:pt idx="3">
                  <c:v>15</c:v>
                </c:pt>
                <c:pt idx="4">
                  <c:v>17</c:v>
                </c:pt>
                <c:pt idx="5">
                  <c:v>54</c:v>
                </c:pt>
                <c:pt idx="6">
                  <c:v>96</c:v>
                </c:pt>
                <c:pt idx="7">
                  <c:v>266</c:v>
                </c:pt>
              </c:numCache>
            </c:numRef>
          </c:val>
          <c:extLst>
            <c:ext xmlns:c16="http://schemas.microsoft.com/office/drawing/2014/chart" uri="{C3380CC4-5D6E-409C-BE32-E72D297353CC}">
              <c16:uniqueId val="{00000003-F66B-4099-A864-F2D41313B298}"/>
            </c:ext>
          </c:extLst>
        </c:ser>
        <c:dLbls>
          <c:showLegendKey val="0"/>
          <c:showVal val="0"/>
          <c:showCatName val="0"/>
          <c:showSerName val="0"/>
          <c:showPercent val="0"/>
          <c:showBubbleSize val="0"/>
        </c:dLbls>
        <c:gapWidth val="80"/>
        <c:axId val="1842098880"/>
        <c:axId val="1842102720"/>
      </c:barChart>
      <c:catAx>
        <c:axId val="184209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42102720"/>
        <c:crosses val="autoZero"/>
        <c:auto val="1"/>
        <c:lblAlgn val="ctr"/>
        <c:lblOffset val="100"/>
        <c:noMultiLvlLbl val="0"/>
      </c:catAx>
      <c:valAx>
        <c:axId val="18421027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4209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[Dashboard_Hospital_Emergency_Room_Data.xlsx]Pivot Report!PivotTable4</c:name>
    <c:fmtId val="11"/>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99638336347197E-2"/>
          <c:y val="1.282051282051282E-2"/>
          <c:w val="0.91320072332730562"/>
          <c:h val="0.75784070260448211"/>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Report'!$E$5:$E$35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2-5C2B-4F3B-85BD-2C7AF198A89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950463"/>
        <c:axId val="75949503"/>
      </c:areaChart>
      <c:catAx>
        <c:axId val="759504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949503"/>
        <c:crosses val="autoZero"/>
        <c:auto val="1"/>
        <c:lblAlgn val="ctr"/>
        <c:lblOffset val="100"/>
        <c:noMultiLvlLbl val="0"/>
      </c:catAx>
      <c:valAx>
        <c:axId val="75949503"/>
        <c:scaling>
          <c:orientation val="minMax"/>
        </c:scaling>
        <c:delete val="1"/>
        <c:axPos val="l"/>
        <c:numFmt formatCode="General" sourceLinked="1"/>
        <c:majorTickMark val="out"/>
        <c:minorTickMark val="none"/>
        <c:tickLblPos val="nextTo"/>
        <c:crossAx val="75950463"/>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[Dashboard_Hospital_Emergency_Room_Data.xlsx]Pivot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324200913242004E-3"/>
          <c:y val="9.0909090909090912E-2"/>
          <c:w val="0.9908675799086758"/>
          <c:h val="0.90909090909090906"/>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Report'!$H$5:$H$35</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2-FAFC-4F24-BF48-4D22FC4A311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46930287"/>
        <c:axId val="646943727"/>
      </c:areaChart>
      <c:catAx>
        <c:axId val="64693028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6943727"/>
        <c:crosses val="autoZero"/>
        <c:auto val="1"/>
        <c:lblAlgn val="ctr"/>
        <c:lblOffset val="100"/>
        <c:noMultiLvlLbl val="0"/>
      </c:catAx>
      <c:valAx>
        <c:axId val="646943727"/>
        <c:scaling>
          <c:orientation val="minMax"/>
        </c:scaling>
        <c:delete val="1"/>
        <c:axPos val="l"/>
        <c:numFmt formatCode="0.00" sourceLinked="1"/>
        <c:majorTickMark val="out"/>
        <c:minorTickMark val="none"/>
        <c:tickLblPos val="nextTo"/>
        <c:crossAx val="6469302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[Dashboard_Hospital_Emergency_Room_Data.xlsx]Pivot Report!PivotTable8</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48807167260517E-2"/>
          <c:y val="0"/>
          <c:w val="0.93787401574803153"/>
          <c:h val="1"/>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Report'!$K$5:$K$35</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2-1C43-4FC6-BC00-BAF787B407C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69096767"/>
        <c:axId val="1569084287"/>
      </c:areaChart>
      <c:catAx>
        <c:axId val="15690967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69084287"/>
        <c:crosses val="autoZero"/>
        <c:auto val="1"/>
        <c:lblAlgn val="ctr"/>
        <c:lblOffset val="100"/>
        <c:noMultiLvlLbl val="0"/>
      </c:catAx>
      <c:valAx>
        <c:axId val="1569084287"/>
        <c:scaling>
          <c:orientation val="minMax"/>
        </c:scaling>
        <c:delete val="1"/>
        <c:axPos val="l"/>
        <c:numFmt formatCode="0.00" sourceLinked="1"/>
        <c:majorTickMark val="out"/>
        <c:minorTickMark val="none"/>
        <c:tickLblPos val="nextTo"/>
        <c:crossAx val="15690967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5.xml"/><Relationship Id="rId12" Type="http://schemas.openxmlformats.org/officeDocument/2006/relationships/image" Target="../media/image6.png"/><Relationship Id="rId17" Type="http://schemas.openxmlformats.org/officeDocument/2006/relationships/chart" Target="../charts/chart8.xml"/><Relationship Id="rId2" Type="http://schemas.openxmlformats.org/officeDocument/2006/relationships/hyperlink" Target="#'Average wait time daily trend'!A1"/><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hyperlink" Target="#'Daily ER No. of Patients'!A1"/><Relationship Id="rId11" Type="http://schemas.openxmlformats.org/officeDocument/2006/relationships/image" Target="../media/image5.svg"/><Relationship Id="rId5" Type="http://schemas.openxmlformats.org/officeDocument/2006/relationships/chart" Target="../charts/chart4.xml"/><Relationship Id="rId15" Type="http://schemas.openxmlformats.org/officeDocument/2006/relationships/chart" Target="../charts/chart6.xml"/><Relationship Id="rId10" Type="http://schemas.openxmlformats.org/officeDocument/2006/relationships/image" Target="../media/image4.png"/><Relationship Id="rId4" Type="http://schemas.openxmlformats.org/officeDocument/2006/relationships/hyperlink" Target="#'Avg Satisfaction Score'!A1"/><Relationship Id="rId9" Type="http://schemas.openxmlformats.org/officeDocument/2006/relationships/image" Target="../media/image3.svg"/><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57152</xdr:colOff>
      <xdr:row>46</xdr:row>
      <xdr:rowOff>0</xdr:rowOff>
    </xdr:from>
    <xdr:to>
      <xdr:col>4</xdr:col>
      <xdr:colOff>39055</xdr:colOff>
      <xdr:row>47</xdr:row>
      <xdr:rowOff>133350</xdr:rowOff>
    </xdr:to>
    <xdr:graphicFrame macro="">
      <xdr:nvGraphicFramePr>
        <xdr:cNvPr id="3" name="Chart 2">
          <a:extLst>
            <a:ext uri="{FF2B5EF4-FFF2-40B4-BE49-F238E27FC236}">
              <a16:creationId xmlns:a16="http://schemas.microsoft.com/office/drawing/2014/main" id="{1CD0A9F0-F043-4ACB-BBA0-E063E6A24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57152</xdr:colOff>
      <xdr:row>46</xdr:row>
      <xdr:rowOff>0</xdr:rowOff>
    </xdr:from>
    <xdr:to>
      <xdr:col>4</xdr:col>
      <xdr:colOff>39055</xdr:colOff>
      <xdr:row>47</xdr:row>
      <xdr:rowOff>133350</xdr:rowOff>
    </xdr:to>
    <xdr:graphicFrame macro="">
      <xdr:nvGraphicFramePr>
        <xdr:cNvPr id="7" name="Chart 6">
          <a:extLst>
            <a:ext uri="{FF2B5EF4-FFF2-40B4-BE49-F238E27FC236}">
              <a16:creationId xmlns:a16="http://schemas.microsoft.com/office/drawing/2014/main" id="{52A8F825-978F-46A5-A35D-6CD49E7CC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63500</xdr:colOff>
      <xdr:row>0</xdr:row>
      <xdr:rowOff>31750</xdr:rowOff>
    </xdr:from>
    <xdr:to>
      <xdr:col>6</xdr:col>
      <xdr:colOff>228600</xdr:colOff>
      <xdr:row>3</xdr:row>
      <xdr:rowOff>158750</xdr:rowOff>
    </xdr:to>
    <xdr:sp macro="" textlink="">
      <xdr:nvSpPr>
        <xdr:cNvPr id="2" name="Rectangle: Rounded Corners 1">
          <a:extLst>
            <a:ext uri="{FF2B5EF4-FFF2-40B4-BE49-F238E27FC236}">
              <a16:creationId xmlns:a16="http://schemas.microsoft.com/office/drawing/2014/main" id="{DAD767D6-06C6-0D9C-5CCA-F9783AD186ED}"/>
            </a:ext>
          </a:extLst>
        </xdr:cNvPr>
        <xdr:cNvSpPr/>
      </xdr:nvSpPr>
      <xdr:spPr>
        <a:xfrm>
          <a:off x="63500" y="31750"/>
          <a:ext cx="3822700" cy="679450"/>
        </a:xfrm>
        <a:prstGeom prst="roundRect">
          <a:avLst>
            <a:gd name="adj" fmla="val 1564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279400</xdr:colOff>
      <xdr:row>0</xdr:row>
      <xdr:rowOff>31750</xdr:rowOff>
    </xdr:from>
    <xdr:to>
      <xdr:col>9</xdr:col>
      <xdr:colOff>177800</xdr:colOff>
      <xdr:row>3</xdr:row>
      <xdr:rowOff>158750</xdr:rowOff>
    </xdr:to>
    <xdr:sp macro="" textlink="">
      <xdr:nvSpPr>
        <xdr:cNvPr id="3" name="Rectangle: Rounded Corners 2">
          <a:extLst>
            <a:ext uri="{FF2B5EF4-FFF2-40B4-BE49-F238E27FC236}">
              <a16:creationId xmlns:a16="http://schemas.microsoft.com/office/drawing/2014/main" id="{84CF78EB-0419-9EAB-E296-E20F29F252EC}"/>
            </a:ext>
          </a:extLst>
        </xdr:cNvPr>
        <xdr:cNvSpPr/>
      </xdr:nvSpPr>
      <xdr:spPr>
        <a:xfrm>
          <a:off x="3937000" y="31750"/>
          <a:ext cx="1727200" cy="679450"/>
        </a:xfrm>
        <a:prstGeom prst="roundRect">
          <a:avLst>
            <a:gd name="adj" fmla="val 1751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228600</xdr:colOff>
      <xdr:row>0</xdr:row>
      <xdr:rowOff>47626</xdr:rowOff>
    </xdr:from>
    <xdr:to>
      <xdr:col>12</xdr:col>
      <xdr:colOff>298450</xdr:colOff>
      <xdr:row>8</xdr:row>
      <xdr:rowOff>149226</xdr:rowOff>
    </xdr:to>
    <xdr:sp macro="" textlink="">
      <xdr:nvSpPr>
        <xdr:cNvPr id="4" name="Rectangle: Rounded Corners 3">
          <a:extLst>
            <a:ext uri="{FF2B5EF4-FFF2-40B4-BE49-F238E27FC236}">
              <a16:creationId xmlns:a16="http://schemas.microsoft.com/office/drawing/2014/main" id="{990327F5-549E-66F2-C5A5-494C333D4B53}"/>
            </a:ext>
          </a:extLst>
        </xdr:cNvPr>
        <xdr:cNvSpPr/>
      </xdr:nvSpPr>
      <xdr:spPr>
        <a:xfrm>
          <a:off x="5729288" y="47626"/>
          <a:ext cx="1903412" cy="1562100"/>
        </a:xfrm>
        <a:prstGeom prst="roundRect">
          <a:avLst>
            <a:gd name="adj" fmla="val 76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349250</xdr:colOff>
      <xdr:row>0</xdr:row>
      <xdr:rowOff>47626</xdr:rowOff>
    </xdr:from>
    <xdr:to>
      <xdr:col>15</xdr:col>
      <xdr:colOff>419100</xdr:colOff>
      <xdr:row>8</xdr:row>
      <xdr:rowOff>149226</xdr:rowOff>
    </xdr:to>
    <xdr:sp macro="" textlink="">
      <xdr:nvSpPr>
        <xdr:cNvPr id="5" name="Rectangle: Rounded Corners 4">
          <a:extLst>
            <a:ext uri="{FF2B5EF4-FFF2-40B4-BE49-F238E27FC236}">
              <a16:creationId xmlns:a16="http://schemas.microsoft.com/office/drawing/2014/main" id="{A7E8EF02-00E5-F397-F906-CE9B15FE7A5E}"/>
            </a:ext>
          </a:extLst>
        </xdr:cNvPr>
        <xdr:cNvSpPr/>
      </xdr:nvSpPr>
      <xdr:spPr>
        <a:xfrm>
          <a:off x="7683500" y="47626"/>
          <a:ext cx="1903413" cy="1562100"/>
        </a:xfrm>
        <a:prstGeom prst="roundRect">
          <a:avLst>
            <a:gd name="adj" fmla="val 639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57150</xdr:colOff>
      <xdr:row>4</xdr:row>
      <xdr:rowOff>44452</xdr:rowOff>
    </xdr:from>
    <xdr:to>
      <xdr:col>1</xdr:col>
      <xdr:colOff>361950</xdr:colOff>
      <xdr:row>18</xdr:row>
      <xdr:rowOff>127002</xdr:rowOff>
    </xdr:to>
    <xdr:sp macro="" textlink="">
      <xdr:nvSpPr>
        <xdr:cNvPr id="6" name="Rectangle: Rounded Corners 5">
          <a:extLst>
            <a:ext uri="{FF2B5EF4-FFF2-40B4-BE49-F238E27FC236}">
              <a16:creationId xmlns:a16="http://schemas.microsoft.com/office/drawing/2014/main" id="{75F90905-C01B-9C96-61C9-4F87040EFEB9}"/>
            </a:ext>
          </a:extLst>
        </xdr:cNvPr>
        <xdr:cNvSpPr/>
      </xdr:nvSpPr>
      <xdr:spPr>
        <a:xfrm>
          <a:off x="57150" y="774702"/>
          <a:ext cx="915988" cy="2638425"/>
        </a:xfrm>
        <a:prstGeom prst="roundRect">
          <a:avLst>
            <a:gd name="adj" fmla="val 1076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412750</xdr:colOff>
      <xdr:row>4</xdr:row>
      <xdr:rowOff>28576</xdr:rowOff>
    </xdr:from>
    <xdr:to>
      <xdr:col>9</xdr:col>
      <xdr:colOff>172358</xdr:colOff>
      <xdr:row>9</xdr:row>
      <xdr:rowOff>111126</xdr:rowOff>
    </xdr:to>
    <xdr:grpSp>
      <xdr:nvGrpSpPr>
        <xdr:cNvPr id="39" name="Group 38">
          <a:extLst>
            <a:ext uri="{FF2B5EF4-FFF2-40B4-BE49-F238E27FC236}">
              <a16:creationId xmlns:a16="http://schemas.microsoft.com/office/drawing/2014/main" id="{833B9BBB-7C7B-AD3D-E7A1-1DF28EF04A4F}"/>
            </a:ext>
          </a:extLst>
        </xdr:cNvPr>
        <xdr:cNvGrpSpPr/>
      </xdr:nvGrpSpPr>
      <xdr:grpSpPr>
        <a:xfrm>
          <a:off x="1023938" y="758826"/>
          <a:ext cx="4649108" cy="995363"/>
          <a:chOff x="1023938" y="742950"/>
          <a:chExt cx="4649108" cy="995363"/>
        </a:xfrm>
      </xdr:grpSpPr>
      <xdr:sp macro="" textlink="">
        <xdr:nvSpPr>
          <xdr:cNvPr id="7" name="Rectangle: Rounded Corners 6">
            <a:extLst>
              <a:ext uri="{FF2B5EF4-FFF2-40B4-BE49-F238E27FC236}">
                <a16:creationId xmlns:a16="http://schemas.microsoft.com/office/drawing/2014/main" id="{BE7F3C01-13F3-D72C-C934-33F717C8DF02}"/>
              </a:ext>
            </a:extLst>
          </xdr:cNvPr>
          <xdr:cNvSpPr/>
        </xdr:nvSpPr>
        <xdr:spPr>
          <a:xfrm>
            <a:off x="1023938" y="758875"/>
            <a:ext cx="1513952" cy="979438"/>
          </a:xfrm>
          <a:prstGeom prst="roundRect">
            <a:avLst>
              <a:gd name="adj" fmla="val 1091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C444CA2A-20F2-7C3A-78A7-EA211A966D94}"/>
              </a:ext>
            </a:extLst>
          </xdr:cNvPr>
          <xdr:cNvSpPr/>
        </xdr:nvSpPr>
        <xdr:spPr>
          <a:xfrm>
            <a:off x="2588680" y="750913"/>
            <a:ext cx="1512365" cy="979438"/>
          </a:xfrm>
          <a:prstGeom prst="roundRect">
            <a:avLst>
              <a:gd name="adj" fmla="val 1091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5D923C4-AE40-4FF9-1CDF-C51115A438F8}"/>
              </a:ext>
            </a:extLst>
          </xdr:cNvPr>
          <xdr:cNvSpPr/>
        </xdr:nvSpPr>
        <xdr:spPr>
          <a:xfrm>
            <a:off x="4151835" y="742950"/>
            <a:ext cx="1521211" cy="995363"/>
          </a:xfrm>
          <a:prstGeom prst="roundRect">
            <a:avLst>
              <a:gd name="adj" fmla="val 1027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398462</xdr:colOff>
      <xdr:row>12</xdr:row>
      <xdr:rowOff>127002</xdr:rowOff>
    </xdr:from>
    <xdr:to>
      <xdr:col>9</xdr:col>
      <xdr:colOff>195262</xdr:colOff>
      <xdr:row>18</xdr:row>
      <xdr:rowOff>120653</xdr:rowOff>
    </xdr:to>
    <xdr:sp macro="" textlink="">
      <xdr:nvSpPr>
        <xdr:cNvPr id="11" name="Rectangle: Rounded Corners 10">
          <a:extLst>
            <a:ext uri="{FF2B5EF4-FFF2-40B4-BE49-F238E27FC236}">
              <a16:creationId xmlns:a16="http://schemas.microsoft.com/office/drawing/2014/main" id="{6F408876-9E1B-C987-CDC6-368E53B6F0B1}"/>
            </a:ext>
          </a:extLst>
        </xdr:cNvPr>
        <xdr:cNvSpPr/>
      </xdr:nvSpPr>
      <xdr:spPr>
        <a:xfrm>
          <a:off x="1009650" y="2317752"/>
          <a:ext cx="4686300" cy="1089026"/>
        </a:xfrm>
        <a:prstGeom prst="roundRect">
          <a:avLst>
            <a:gd name="adj" fmla="val 1053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241300</xdr:colOff>
      <xdr:row>9</xdr:row>
      <xdr:rowOff>26989</xdr:rowOff>
    </xdr:from>
    <xdr:to>
      <xdr:col>15</xdr:col>
      <xdr:colOff>450850</xdr:colOff>
      <xdr:row>18</xdr:row>
      <xdr:rowOff>107952</xdr:rowOff>
    </xdr:to>
    <xdr:sp macro="" textlink="">
      <xdr:nvSpPr>
        <xdr:cNvPr id="22" name="Rectangle: Rounded Corners 21">
          <a:extLst>
            <a:ext uri="{FF2B5EF4-FFF2-40B4-BE49-F238E27FC236}">
              <a16:creationId xmlns:a16="http://schemas.microsoft.com/office/drawing/2014/main" id="{59D6E130-EAC5-34FE-68D5-E411FB10C63E}"/>
            </a:ext>
          </a:extLst>
        </xdr:cNvPr>
        <xdr:cNvSpPr/>
      </xdr:nvSpPr>
      <xdr:spPr>
        <a:xfrm>
          <a:off x="5741988" y="1670052"/>
          <a:ext cx="3876675" cy="1724025"/>
        </a:xfrm>
        <a:prstGeom prst="roundRect">
          <a:avLst>
            <a:gd name="adj" fmla="val 88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336550</xdr:colOff>
      <xdr:row>0</xdr:row>
      <xdr:rowOff>171450</xdr:rowOff>
    </xdr:from>
    <xdr:to>
      <xdr:col>5</xdr:col>
      <xdr:colOff>469900</xdr:colOff>
      <xdr:row>2</xdr:row>
      <xdr:rowOff>146050</xdr:rowOff>
    </xdr:to>
    <xdr:sp macro="" textlink="">
      <xdr:nvSpPr>
        <xdr:cNvPr id="24" name="TextBox 23">
          <a:extLst>
            <a:ext uri="{FF2B5EF4-FFF2-40B4-BE49-F238E27FC236}">
              <a16:creationId xmlns:a16="http://schemas.microsoft.com/office/drawing/2014/main" id="{563ECFEC-7B01-7AB2-1DF9-7F4D26558EEA}"/>
            </a:ext>
          </a:extLst>
        </xdr:cNvPr>
        <xdr:cNvSpPr txBox="1"/>
      </xdr:nvSpPr>
      <xdr:spPr>
        <a:xfrm>
          <a:off x="946150" y="171450"/>
          <a:ext cx="25717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Hospital Emergency Room </a:t>
          </a:r>
          <a:r>
            <a:rPr lang="en-IN" sz="1200" b="1">
              <a:latin typeface="Aptos Narrow" panose="020B0004020202020204" pitchFamily="34" charset="0"/>
            </a:rPr>
            <a:t>Dashboard</a:t>
          </a:r>
        </a:p>
      </xdr:txBody>
    </xdr:sp>
    <xdr:clientData/>
  </xdr:twoCellAnchor>
  <xdr:twoCellAnchor editAs="oneCell">
    <xdr:from>
      <xdr:col>0</xdr:col>
      <xdr:colOff>254000</xdr:colOff>
      <xdr:row>0</xdr:row>
      <xdr:rowOff>127000</xdr:rowOff>
    </xdr:from>
    <xdr:to>
      <xdr:col>1</xdr:col>
      <xdr:colOff>361950</xdr:colOff>
      <xdr:row>3</xdr:row>
      <xdr:rowOff>0</xdr:rowOff>
    </xdr:to>
    <xdr:pic>
      <xdr:nvPicPr>
        <xdr:cNvPr id="26" name="Picture 25">
          <a:extLst>
            <a:ext uri="{FF2B5EF4-FFF2-40B4-BE49-F238E27FC236}">
              <a16:creationId xmlns:a16="http://schemas.microsoft.com/office/drawing/2014/main" id="{8A25988D-8A34-E3C0-EA15-F2CC83DE020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972" t="8878" r="8450" b="6142"/>
        <a:stretch>
          <a:fillRect/>
        </a:stretch>
      </xdr:blipFill>
      <xdr:spPr>
        <a:xfrm>
          <a:off x="254000" y="127000"/>
          <a:ext cx="717550" cy="425450"/>
        </a:xfrm>
        <a:prstGeom prst="rect">
          <a:avLst/>
        </a:prstGeom>
      </xdr:spPr>
    </xdr:pic>
    <xdr:clientData/>
  </xdr:twoCellAnchor>
  <xdr:twoCellAnchor editAs="absolute">
    <xdr:from>
      <xdr:col>2</xdr:col>
      <xdr:colOff>533400</xdr:colOff>
      <xdr:row>2</xdr:row>
      <xdr:rowOff>25400</xdr:rowOff>
    </xdr:from>
    <xdr:to>
      <xdr:col>4</xdr:col>
      <xdr:colOff>323850</xdr:colOff>
      <xdr:row>3</xdr:row>
      <xdr:rowOff>50800</xdr:rowOff>
    </xdr:to>
    <xdr:sp macro="" textlink="">
      <xdr:nvSpPr>
        <xdr:cNvPr id="27" name="TextBox 26">
          <a:extLst>
            <a:ext uri="{FF2B5EF4-FFF2-40B4-BE49-F238E27FC236}">
              <a16:creationId xmlns:a16="http://schemas.microsoft.com/office/drawing/2014/main" id="{DDD4D5CD-9E9A-0AA0-DA5C-4093F3761385}"/>
            </a:ext>
          </a:extLst>
        </xdr:cNvPr>
        <xdr:cNvSpPr txBox="1"/>
      </xdr:nvSpPr>
      <xdr:spPr>
        <a:xfrm>
          <a:off x="1752600" y="393700"/>
          <a:ext cx="10096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latin typeface="Aptos Narrow" panose="020B0004020202020204" pitchFamily="34" charset="0"/>
            </a:rPr>
            <a:t>Monthly Report</a:t>
          </a:r>
        </a:p>
      </xdr:txBody>
    </xdr:sp>
    <xdr:clientData/>
  </xdr:twoCellAnchor>
  <xdr:twoCellAnchor editAs="oneCell">
    <xdr:from>
      <xdr:col>0</xdr:col>
      <xdr:colOff>95250</xdr:colOff>
      <xdr:row>4</xdr:row>
      <xdr:rowOff>77790</xdr:rowOff>
    </xdr:from>
    <xdr:to>
      <xdr:col>1</xdr:col>
      <xdr:colOff>231512</xdr:colOff>
      <xdr:row>18</xdr:row>
      <xdr:rowOff>71440</xdr:rowOff>
    </xdr:to>
    <mc:AlternateContent xmlns:mc="http://schemas.openxmlformats.org/markup-compatibility/2006">
      <mc:Choice xmlns:a14="http://schemas.microsoft.com/office/drawing/2010/main" Requires="a14">
        <xdr:graphicFrame macro="">
          <xdr:nvGraphicFramePr>
            <xdr:cNvPr id="36" name="Date (Month)">
              <a:extLst>
                <a:ext uri="{FF2B5EF4-FFF2-40B4-BE49-F238E27FC236}">
                  <a16:creationId xmlns:a16="http://schemas.microsoft.com/office/drawing/2014/main" id="{B9C560AA-A350-4DAA-AADC-7D46ED8DE45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95250" y="808040"/>
              <a:ext cx="747450" cy="2549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152400</xdr:colOff>
      <xdr:row>5</xdr:row>
      <xdr:rowOff>139700</xdr:rowOff>
    </xdr:from>
    <xdr:to>
      <xdr:col>6</xdr:col>
      <xdr:colOff>450850</xdr:colOff>
      <xdr:row>7</xdr:row>
      <xdr:rowOff>38100</xdr:rowOff>
    </xdr:to>
    <xdr:sp macro="" textlink="">
      <xdr:nvSpPr>
        <xdr:cNvPr id="32" name="TextBox 31">
          <a:extLst>
            <a:ext uri="{FF2B5EF4-FFF2-40B4-BE49-F238E27FC236}">
              <a16:creationId xmlns:a16="http://schemas.microsoft.com/office/drawing/2014/main" id="{E711BB6B-A3FD-00C2-8279-582AA19D5667}"/>
            </a:ext>
          </a:extLst>
        </xdr:cNvPr>
        <xdr:cNvSpPr txBox="1"/>
      </xdr:nvSpPr>
      <xdr:spPr>
        <a:xfrm>
          <a:off x="2590800" y="1060450"/>
          <a:ext cx="1517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Aptos Narrow" panose="020B0004020202020204" pitchFamily="34" charset="0"/>
            </a:rPr>
            <a:t>Average Wait TIme</a:t>
          </a:r>
        </a:p>
      </xdr:txBody>
    </xdr:sp>
    <xdr:clientData/>
  </xdr:twoCellAnchor>
  <xdr:twoCellAnchor editAs="absolute">
    <xdr:from>
      <xdr:col>4</xdr:col>
      <xdr:colOff>152400</xdr:colOff>
      <xdr:row>4</xdr:row>
      <xdr:rowOff>101600</xdr:rowOff>
    </xdr:from>
    <xdr:to>
      <xdr:col>6</xdr:col>
      <xdr:colOff>450850</xdr:colOff>
      <xdr:row>6</xdr:row>
      <xdr:rowOff>69850</xdr:rowOff>
    </xdr:to>
    <xdr:sp macro="" textlink="'Pivot Report'!A9">
      <xdr:nvSpPr>
        <xdr:cNvPr id="33" name="TextBox 32">
          <a:extLst>
            <a:ext uri="{FF2B5EF4-FFF2-40B4-BE49-F238E27FC236}">
              <a16:creationId xmlns:a16="http://schemas.microsoft.com/office/drawing/2014/main" id="{37D7081C-831D-C8B2-E88F-19808D62E24F}"/>
            </a:ext>
          </a:extLst>
        </xdr:cNvPr>
        <xdr:cNvSpPr txBox="1"/>
      </xdr:nvSpPr>
      <xdr:spPr>
        <a:xfrm>
          <a:off x="2590800" y="838200"/>
          <a:ext cx="15176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5A81F3C-D80D-40D2-AE6E-9358D639BCC7}" type="TxLink">
            <a:rPr lang="en-US" sz="1200" b="1" i="0" u="none" strike="noStrike">
              <a:solidFill>
                <a:srgbClr val="000000"/>
              </a:solidFill>
              <a:latin typeface="Aptos Narrow" panose="020B0004020202020204" pitchFamily="34" charset="0"/>
              <a:ea typeface="Calibri"/>
              <a:cs typeface="Calibri"/>
            </a:rPr>
            <a:pPr algn="ctr"/>
            <a:t>34.05</a:t>
          </a:fld>
          <a:endParaRPr lang="en-IN" sz="1100" b="1">
            <a:latin typeface="Aptos Narrow" panose="020B0004020202020204" pitchFamily="34" charset="0"/>
          </a:endParaRPr>
        </a:p>
      </xdr:txBody>
    </xdr:sp>
    <xdr:clientData/>
  </xdr:twoCellAnchor>
  <xdr:twoCellAnchor editAs="absolute">
    <xdr:from>
      <xdr:col>6</xdr:col>
      <xdr:colOff>495300</xdr:colOff>
      <xdr:row>5</xdr:row>
      <xdr:rowOff>158750</xdr:rowOff>
    </xdr:from>
    <xdr:to>
      <xdr:col>9</xdr:col>
      <xdr:colOff>184150</xdr:colOff>
      <xdr:row>7</xdr:row>
      <xdr:rowOff>12700</xdr:rowOff>
    </xdr:to>
    <xdr:sp macro="" textlink="">
      <xdr:nvSpPr>
        <xdr:cNvPr id="34" name="TextBox 33">
          <a:extLst>
            <a:ext uri="{FF2B5EF4-FFF2-40B4-BE49-F238E27FC236}">
              <a16:creationId xmlns:a16="http://schemas.microsoft.com/office/drawing/2014/main" id="{9E3E5490-BCE3-F8CF-250E-A80202EFA7F6}"/>
            </a:ext>
          </a:extLst>
        </xdr:cNvPr>
        <xdr:cNvSpPr txBox="1"/>
      </xdr:nvSpPr>
      <xdr:spPr>
        <a:xfrm>
          <a:off x="4152900" y="1079500"/>
          <a:ext cx="15176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Aptos Narrow" panose="020B0004020202020204" pitchFamily="34" charset="0"/>
            </a:rPr>
            <a:t>Patient Satisfaction Score</a:t>
          </a:r>
        </a:p>
      </xdr:txBody>
    </xdr:sp>
    <xdr:clientData/>
  </xdr:twoCellAnchor>
  <xdr:twoCellAnchor editAs="absolute">
    <xdr:from>
      <xdr:col>6</xdr:col>
      <xdr:colOff>501650</xdr:colOff>
      <xdr:row>4</xdr:row>
      <xdr:rowOff>101600</xdr:rowOff>
    </xdr:from>
    <xdr:to>
      <xdr:col>9</xdr:col>
      <xdr:colOff>190500</xdr:colOff>
      <xdr:row>6</xdr:row>
      <xdr:rowOff>69850</xdr:rowOff>
    </xdr:to>
    <xdr:sp macro="" textlink="'Pivot Report'!A14">
      <xdr:nvSpPr>
        <xdr:cNvPr id="35" name="TextBox 34">
          <a:extLst>
            <a:ext uri="{FF2B5EF4-FFF2-40B4-BE49-F238E27FC236}">
              <a16:creationId xmlns:a16="http://schemas.microsoft.com/office/drawing/2014/main" id="{E23EC060-E079-8A96-DCDD-57FD02065ADF}"/>
            </a:ext>
          </a:extLst>
        </xdr:cNvPr>
        <xdr:cNvSpPr txBox="1"/>
      </xdr:nvSpPr>
      <xdr:spPr>
        <a:xfrm>
          <a:off x="4159250" y="838200"/>
          <a:ext cx="15176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2CB9E55-4DF4-4CD1-99E6-D7E61E7AE054}" type="TxLink">
            <a:rPr lang="en-US" sz="1200" b="1" i="0" u="none" strike="noStrike">
              <a:solidFill>
                <a:srgbClr val="000000"/>
              </a:solidFill>
              <a:latin typeface="Aptos Narrow" panose="020B0004020202020204" pitchFamily="34" charset="0"/>
              <a:ea typeface="Calibri"/>
              <a:cs typeface="Calibri"/>
            </a:rPr>
            <a:pPr algn="ctr"/>
            <a:t>5.31</a:t>
          </a:fld>
          <a:endParaRPr lang="en-IN" sz="1100" b="1">
            <a:latin typeface="Aptos Narrow" panose="020B0004020202020204" pitchFamily="34" charset="0"/>
          </a:endParaRPr>
        </a:p>
      </xdr:txBody>
    </xdr:sp>
    <xdr:clientData/>
  </xdr:twoCellAnchor>
  <xdr:twoCellAnchor>
    <xdr:from>
      <xdr:col>4</xdr:col>
      <xdr:colOff>139700</xdr:colOff>
      <xdr:row>6</xdr:row>
      <xdr:rowOff>114300</xdr:rowOff>
    </xdr:from>
    <xdr:to>
      <xdr:col>6</xdr:col>
      <xdr:colOff>431800</xdr:colOff>
      <xdr:row>9</xdr:row>
      <xdr:rowOff>63500</xdr:rowOff>
    </xdr:to>
    <xdr:graphicFrame macro="">
      <xdr:nvGraphicFramePr>
        <xdr:cNvPr id="10" name="Chart 9">
          <a:hlinkClick xmlns:r="http://schemas.openxmlformats.org/officeDocument/2006/relationships" r:id="rId2"/>
          <a:extLst>
            <a:ext uri="{FF2B5EF4-FFF2-40B4-BE49-F238E27FC236}">
              <a16:creationId xmlns:a16="http://schemas.microsoft.com/office/drawing/2014/main" id="{DB931B85-D602-4F36-A5D0-63F940A4B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495300</xdr:colOff>
      <xdr:row>6</xdr:row>
      <xdr:rowOff>152400</xdr:rowOff>
    </xdr:from>
    <xdr:to>
      <xdr:col>9</xdr:col>
      <xdr:colOff>184150</xdr:colOff>
      <xdr:row>9</xdr:row>
      <xdr:rowOff>63500</xdr:rowOff>
    </xdr:to>
    <xdr:graphicFrame macro="">
      <xdr:nvGraphicFramePr>
        <xdr:cNvPr id="12" name="Chart 11">
          <a:hlinkClick xmlns:r="http://schemas.openxmlformats.org/officeDocument/2006/relationships" r:id="rId4"/>
          <a:extLst>
            <a:ext uri="{FF2B5EF4-FFF2-40B4-BE49-F238E27FC236}">
              <a16:creationId xmlns:a16="http://schemas.microsoft.com/office/drawing/2014/main" id="{331EE67F-D1A4-4B4A-834B-8F8153131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381000</xdr:colOff>
      <xdr:row>4</xdr:row>
      <xdr:rowOff>60326</xdr:rowOff>
    </xdr:from>
    <xdr:to>
      <xdr:col>4</xdr:col>
      <xdr:colOff>101600</xdr:colOff>
      <xdr:row>9</xdr:row>
      <xdr:rowOff>73026</xdr:rowOff>
    </xdr:to>
    <xdr:grpSp>
      <xdr:nvGrpSpPr>
        <xdr:cNvPr id="42" name="Group 41">
          <a:extLst>
            <a:ext uri="{FF2B5EF4-FFF2-40B4-BE49-F238E27FC236}">
              <a16:creationId xmlns:a16="http://schemas.microsoft.com/office/drawing/2014/main" id="{3AF9F0E0-116C-85F9-C7C3-1E0748E0E0FB}"/>
            </a:ext>
          </a:extLst>
        </xdr:cNvPr>
        <xdr:cNvGrpSpPr/>
      </xdr:nvGrpSpPr>
      <xdr:grpSpPr>
        <a:xfrm>
          <a:off x="992188" y="790576"/>
          <a:ext cx="1554162" cy="925513"/>
          <a:chOff x="992188" y="774700"/>
          <a:chExt cx="1554162" cy="925513"/>
        </a:xfrm>
      </xdr:grpSpPr>
      <xdr:sp macro="" textlink="">
        <xdr:nvSpPr>
          <xdr:cNvPr id="28" name="TextBox 27">
            <a:extLst>
              <a:ext uri="{FF2B5EF4-FFF2-40B4-BE49-F238E27FC236}">
                <a16:creationId xmlns:a16="http://schemas.microsoft.com/office/drawing/2014/main" id="{0AF6FB23-FCF5-6554-63C2-B11F403C3AFF}"/>
              </a:ext>
            </a:extLst>
          </xdr:cNvPr>
          <xdr:cNvSpPr txBox="1"/>
        </xdr:nvSpPr>
        <xdr:spPr>
          <a:xfrm>
            <a:off x="992188" y="1058863"/>
            <a:ext cx="1522412" cy="22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Aptos Narrow" panose="020B0004020202020204" pitchFamily="34" charset="0"/>
              </a:rPr>
              <a:t>Number</a:t>
            </a:r>
            <a:r>
              <a:rPr lang="en-IN" sz="900" b="1" baseline="0">
                <a:latin typeface="Aptos Narrow" panose="020B0004020202020204" pitchFamily="34" charset="0"/>
              </a:rPr>
              <a:t> of Patient</a:t>
            </a:r>
            <a:endParaRPr lang="en-IN" sz="900" b="1">
              <a:latin typeface="Aptos Narrow" panose="020B0004020202020204" pitchFamily="34" charset="0"/>
            </a:endParaRPr>
          </a:p>
        </xdr:txBody>
      </xdr:sp>
      <xdr:sp macro="" textlink="'Pivot Report'!A5">
        <xdr:nvSpPr>
          <xdr:cNvPr id="29" name="TextBox 28">
            <a:extLst>
              <a:ext uri="{FF2B5EF4-FFF2-40B4-BE49-F238E27FC236}">
                <a16:creationId xmlns:a16="http://schemas.microsoft.com/office/drawing/2014/main" id="{FF3527C4-8642-E507-64D9-01F814D722D8}"/>
              </a:ext>
            </a:extLst>
          </xdr:cNvPr>
          <xdr:cNvSpPr txBox="1"/>
        </xdr:nvSpPr>
        <xdr:spPr>
          <a:xfrm>
            <a:off x="1023938" y="831850"/>
            <a:ext cx="1522412"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5A15E5D-B8A5-463F-BBC3-129A991D3056}" type="TxLink">
              <a:rPr lang="en-US" sz="1200" b="1" i="0" u="none" strike="noStrike">
                <a:solidFill>
                  <a:srgbClr val="000000"/>
                </a:solidFill>
                <a:latin typeface="Aptos Narrow" panose="020B0004020202020204" pitchFamily="34" charset="0"/>
                <a:ea typeface="Calibri"/>
                <a:cs typeface="Calibri"/>
              </a:rPr>
              <a:pPr algn="ctr"/>
              <a:t>471</a:t>
            </a:fld>
            <a:endParaRPr lang="en-IN" sz="1050" b="1">
              <a:latin typeface="Aptos Narrow" panose="020B0004020202020204" pitchFamily="34" charset="0"/>
            </a:endParaRPr>
          </a:p>
        </xdr:txBody>
      </xdr:sp>
      <xdr:graphicFrame macro="">
        <xdr:nvGraphicFramePr>
          <xdr:cNvPr id="38" name="Chart 37">
            <a:hlinkClick xmlns:r="http://schemas.openxmlformats.org/officeDocument/2006/relationships" r:id="rId6"/>
            <a:extLst>
              <a:ext uri="{FF2B5EF4-FFF2-40B4-BE49-F238E27FC236}">
                <a16:creationId xmlns:a16="http://schemas.microsoft.com/office/drawing/2014/main" id="{BEEA0ADC-231A-8779-5348-B34CDD56B0C7}"/>
              </a:ext>
            </a:extLst>
          </xdr:cNvPr>
          <xdr:cNvGraphicFramePr>
            <a:graphicFrameLocks/>
          </xdr:cNvGraphicFramePr>
        </xdr:nvGraphicFramePr>
        <xdr:xfrm>
          <a:off x="1042988" y="1077913"/>
          <a:ext cx="1490661" cy="622300"/>
        </xdr:xfrm>
        <a:graphic>
          <a:graphicData uri="http://schemas.openxmlformats.org/drawingml/2006/chart">
            <c:chart xmlns:c="http://schemas.openxmlformats.org/drawingml/2006/chart" xmlns:r="http://schemas.openxmlformats.org/officeDocument/2006/relationships" r:id="rId7"/>
          </a:graphicData>
        </a:graphic>
      </xdr:graphicFrame>
      <xdr:pic>
        <xdr:nvPicPr>
          <xdr:cNvPr id="16" name="Graphic 15" descr="User">
            <a:extLst>
              <a:ext uri="{FF2B5EF4-FFF2-40B4-BE49-F238E27FC236}">
                <a16:creationId xmlns:a16="http://schemas.microsoft.com/office/drawing/2014/main" id="{F444822F-E6CE-F67D-89D8-1F3C774AAC6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08213" y="774700"/>
            <a:ext cx="306387" cy="303213"/>
          </a:xfrm>
          <a:prstGeom prst="rect">
            <a:avLst/>
          </a:prstGeom>
        </xdr:spPr>
      </xdr:pic>
    </xdr:grpSp>
    <xdr:clientData/>
  </xdr:twoCellAnchor>
  <xdr:twoCellAnchor editAs="oneCell">
    <xdr:from>
      <xdr:col>6</xdr:col>
      <xdr:colOff>107950</xdr:colOff>
      <xdr:row>4</xdr:row>
      <xdr:rowOff>35700</xdr:rowOff>
    </xdr:from>
    <xdr:to>
      <xdr:col>6</xdr:col>
      <xdr:colOff>408800</xdr:colOff>
      <xdr:row>5</xdr:row>
      <xdr:rowOff>152400</xdr:rowOff>
    </xdr:to>
    <xdr:pic>
      <xdr:nvPicPr>
        <xdr:cNvPr id="18" name="Graphic 17" descr="Hourglass">
          <a:extLst>
            <a:ext uri="{FF2B5EF4-FFF2-40B4-BE49-F238E27FC236}">
              <a16:creationId xmlns:a16="http://schemas.microsoft.com/office/drawing/2014/main" id="{5B022637-E824-8714-FD80-4DA3F7CFFC8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765550" y="772300"/>
          <a:ext cx="300850" cy="300850"/>
        </a:xfrm>
        <a:prstGeom prst="rect">
          <a:avLst/>
        </a:prstGeom>
      </xdr:spPr>
    </xdr:pic>
    <xdr:clientData/>
  </xdr:twoCellAnchor>
  <xdr:twoCellAnchor editAs="oneCell">
    <xdr:from>
      <xdr:col>8</xdr:col>
      <xdr:colOff>439700</xdr:colOff>
      <xdr:row>3</xdr:row>
      <xdr:rowOff>173000</xdr:rowOff>
    </xdr:from>
    <xdr:to>
      <xdr:col>9</xdr:col>
      <xdr:colOff>158750</xdr:colOff>
      <xdr:row>5</xdr:row>
      <xdr:rowOff>133350</xdr:rowOff>
    </xdr:to>
    <xdr:pic>
      <xdr:nvPicPr>
        <xdr:cNvPr id="20" name="Graphic 19" descr="Stars">
          <a:extLst>
            <a:ext uri="{FF2B5EF4-FFF2-40B4-BE49-F238E27FC236}">
              <a16:creationId xmlns:a16="http://schemas.microsoft.com/office/drawing/2014/main" id="{C0946548-6FDD-F682-C44A-77C366D3DC3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316500" y="725450"/>
          <a:ext cx="328650" cy="3286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425449</xdr:colOff>
          <xdr:row>9</xdr:row>
          <xdr:rowOff>157165</xdr:rowOff>
        </xdr:from>
        <xdr:to>
          <xdr:col>9</xdr:col>
          <xdr:colOff>165100</xdr:colOff>
          <xdr:row>12</xdr:row>
          <xdr:rowOff>86653</xdr:rowOff>
        </xdr:to>
        <xdr:pic>
          <xdr:nvPicPr>
            <xdr:cNvPr id="31" name="Picture 30">
              <a:extLst>
                <a:ext uri="{FF2B5EF4-FFF2-40B4-BE49-F238E27FC236}">
                  <a16:creationId xmlns:a16="http://schemas.microsoft.com/office/drawing/2014/main" id="{8B6F2A3E-6AF2-6E17-2E4A-959AD3F003BA}"/>
                </a:ext>
              </a:extLst>
            </xdr:cNvPr>
            <xdr:cNvPicPr>
              <a:picLocks noChangeAspect="1" noChangeArrowheads="1"/>
              <a:extLst>
                <a:ext uri="{84589F7E-364E-4C9E-8A38-B11213B215E9}">
                  <a14:cameraTool cellRange="'Pivot Report'!$A$46:$D$48" spid="_x0000_s1056"/>
                </a:ext>
              </a:extLst>
            </xdr:cNvPicPr>
          </xdr:nvPicPr>
          <xdr:blipFill>
            <a:blip xmlns:r="http://schemas.openxmlformats.org/officeDocument/2006/relationships" r:embed="rId14"/>
            <a:srcRect/>
            <a:stretch>
              <a:fillRect/>
            </a:stretch>
          </xdr:blipFill>
          <xdr:spPr bwMode="auto">
            <a:xfrm>
              <a:off x="1036637" y="1800228"/>
              <a:ext cx="4629151" cy="47717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444500</xdr:colOff>
      <xdr:row>12</xdr:row>
      <xdr:rowOff>133350</xdr:rowOff>
    </xdr:from>
    <xdr:to>
      <xdr:col>9</xdr:col>
      <xdr:colOff>88900</xdr:colOff>
      <xdr:row>18</xdr:row>
      <xdr:rowOff>12700</xdr:rowOff>
    </xdr:to>
    <xdr:graphicFrame macro="">
      <xdr:nvGraphicFramePr>
        <xdr:cNvPr id="37" name="Chart 36">
          <a:extLst>
            <a:ext uri="{FF2B5EF4-FFF2-40B4-BE49-F238E27FC236}">
              <a16:creationId xmlns:a16="http://schemas.microsoft.com/office/drawing/2014/main" id="{B10B97C6-DF78-4889-8CFD-51A6A8BF8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476250</xdr:colOff>
      <xdr:row>17</xdr:row>
      <xdr:rowOff>44450</xdr:rowOff>
    </xdr:from>
    <xdr:to>
      <xdr:col>6</xdr:col>
      <xdr:colOff>349250</xdr:colOff>
      <xdr:row>18</xdr:row>
      <xdr:rowOff>127000</xdr:rowOff>
    </xdr:to>
    <xdr:sp macro="" textlink="">
      <xdr:nvSpPr>
        <xdr:cNvPr id="40" name="TextBox 39">
          <a:extLst>
            <a:ext uri="{FF2B5EF4-FFF2-40B4-BE49-F238E27FC236}">
              <a16:creationId xmlns:a16="http://schemas.microsoft.com/office/drawing/2014/main" id="{91C89200-5888-42AB-AB1A-D1DED462674D}"/>
            </a:ext>
          </a:extLst>
        </xdr:cNvPr>
        <xdr:cNvSpPr txBox="1"/>
      </xdr:nvSpPr>
      <xdr:spPr>
        <a:xfrm>
          <a:off x="2305050" y="3175000"/>
          <a:ext cx="1701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Aptos Narrow" panose="020B0004020202020204" pitchFamily="34" charset="0"/>
            </a:rPr>
            <a:t>Number of Patients</a:t>
          </a:r>
          <a:r>
            <a:rPr lang="en-IN" sz="900" b="1" baseline="0">
              <a:latin typeface="Aptos Narrow" panose="020B0004020202020204" pitchFamily="34" charset="0"/>
            </a:rPr>
            <a:t> by Age Group</a:t>
          </a:r>
          <a:endParaRPr lang="en-IN" sz="900" b="1">
            <a:latin typeface="Aptos Narrow" panose="020B0004020202020204" pitchFamily="34" charset="0"/>
          </a:endParaRPr>
        </a:p>
      </xdr:txBody>
    </xdr:sp>
    <xdr:clientData/>
  </xdr:twoCellAnchor>
  <xdr:twoCellAnchor>
    <xdr:from>
      <xdr:col>9</xdr:col>
      <xdr:colOff>279400</xdr:colOff>
      <xdr:row>0</xdr:row>
      <xdr:rowOff>63500</xdr:rowOff>
    </xdr:from>
    <xdr:to>
      <xdr:col>12</xdr:col>
      <xdr:colOff>254000</xdr:colOff>
      <xdr:row>8</xdr:row>
      <xdr:rowOff>0</xdr:rowOff>
    </xdr:to>
    <xdr:graphicFrame macro="">
      <xdr:nvGraphicFramePr>
        <xdr:cNvPr id="41" name="Chart 40">
          <a:extLst>
            <a:ext uri="{FF2B5EF4-FFF2-40B4-BE49-F238E27FC236}">
              <a16:creationId xmlns:a16="http://schemas.microsoft.com/office/drawing/2014/main" id="{3F1D8E78-17D6-4944-B2A5-43E0B7DCF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9</xdr:col>
      <xdr:colOff>482600</xdr:colOff>
      <xdr:row>7</xdr:row>
      <xdr:rowOff>120650</xdr:rowOff>
    </xdr:from>
    <xdr:to>
      <xdr:col>12</xdr:col>
      <xdr:colOff>171450</xdr:colOff>
      <xdr:row>9</xdr:row>
      <xdr:rowOff>19050</xdr:rowOff>
    </xdr:to>
    <xdr:sp macro="" textlink="">
      <xdr:nvSpPr>
        <xdr:cNvPr id="13" name="TextBox 12">
          <a:extLst>
            <a:ext uri="{FF2B5EF4-FFF2-40B4-BE49-F238E27FC236}">
              <a16:creationId xmlns:a16="http://schemas.microsoft.com/office/drawing/2014/main" id="{0890F6BF-221C-43CE-94F1-CE610A571104}"/>
            </a:ext>
          </a:extLst>
        </xdr:cNvPr>
        <xdr:cNvSpPr txBox="1"/>
      </xdr:nvSpPr>
      <xdr:spPr>
        <a:xfrm>
          <a:off x="5969000" y="1409700"/>
          <a:ext cx="1517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Aptos Narrow" panose="020B0004020202020204" pitchFamily="34" charset="0"/>
            </a:rPr>
            <a:t>Patient</a:t>
          </a:r>
          <a:r>
            <a:rPr lang="en-IN" sz="900" b="1" baseline="0">
              <a:latin typeface="Aptos Narrow" panose="020B0004020202020204" pitchFamily="34" charset="0"/>
            </a:rPr>
            <a:t> Attend Status</a:t>
          </a:r>
          <a:endParaRPr lang="en-IN" sz="900" b="1">
            <a:latin typeface="Aptos Narrow" panose="020B0004020202020204" pitchFamily="34" charset="0"/>
          </a:endParaRPr>
        </a:p>
      </xdr:txBody>
    </xdr:sp>
    <xdr:clientData/>
  </xdr:twoCellAnchor>
  <xdr:twoCellAnchor>
    <xdr:from>
      <xdr:col>12</xdr:col>
      <xdr:colOff>304800</xdr:colOff>
      <xdr:row>0</xdr:row>
      <xdr:rowOff>38100</xdr:rowOff>
    </xdr:from>
    <xdr:to>
      <xdr:col>15</xdr:col>
      <xdr:colOff>393700</xdr:colOff>
      <xdr:row>8</xdr:row>
      <xdr:rowOff>76200</xdr:rowOff>
    </xdr:to>
    <xdr:graphicFrame macro="">
      <xdr:nvGraphicFramePr>
        <xdr:cNvPr id="17" name="Chart 16">
          <a:extLst>
            <a:ext uri="{FF2B5EF4-FFF2-40B4-BE49-F238E27FC236}">
              <a16:creationId xmlns:a16="http://schemas.microsoft.com/office/drawing/2014/main" id="{5928BCE8-FC25-4A7E-A6AE-785B585EE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12</xdr:col>
      <xdr:colOff>527050</xdr:colOff>
      <xdr:row>7</xdr:row>
      <xdr:rowOff>114300</xdr:rowOff>
    </xdr:from>
    <xdr:to>
      <xdr:col>15</xdr:col>
      <xdr:colOff>215900</xdr:colOff>
      <xdr:row>9</xdr:row>
      <xdr:rowOff>12700</xdr:rowOff>
    </xdr:to>
    <xdr:sp macro="" textlink="">
      <xdr:nvSpPr>
        <xdr:cNvPr id="25" name="TextBox 24">
          <a:extLst>
            <a:ext uri="{FF2B5EF4-FFF2-40B4-BE49-F238E27FC236}">
              <a16:creationId xmlns:a16="http://schemas.microsoft.com/office/drawing/2014/main" id="{5A1D28C1-5035-4258-9F86-F12015D13949}"/>
            </a:ext>
          </a:extLst>
        </xdr:cNvPr>
        <xdr:cNvSpPr txBox="1"/>
      </xdr:nvSpPr>
      <xdr:spPr>
        <a:xfrm>
          <a:off x="7842250" y="1403350"/>
          <a:ext cx="1517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Aptos Narrow" panose="020B0004020202020204" pitchFamily="34" charset="0"/>
            </a:rPr>
            <a:t>Gender</a:t>
          </a:r>
          <a:r>
            <a:rPr lang="en-IN" sz="900" b="1" baseline="0">
              <a:latin typeface="Aptos Narrow" panose="020B0004020202020204" pitchFamily="34" charset="0"/>
            </a:rPr>
            <a:t> wise Analysis</a:t>
          </a:r>
          <a:endParaRPr lang="en-IN" sz="900" b="1">
            <a:latin typeface="Aptos Narrow" panose="020B0004020202020204" pitchFamily="34" charset="0"/>
          </a:endParaRPr>
        </a:p>
      </xdr:txBody>
    </xdr:sp>
    <xdr:clientData/>
  </xdr:twoCellAnchor>
  <xdr:twoCellAnchor>
    <xdr:from>
      <xdr:col>9</xdr:col>
      <xdr:colOff>323850</xdr:colOff>
      <xdr:row>9</xdr:row>
      <xdr:rowOff>82550</xdr:rowOff>
    </xdr:from>
    <xdr:to>
      <xdr:col>15</xdr:col>
      <xdr:colOff>450850</xdr:colOff>
      <xdr:row>18</xdr:row>
      <xdr:rowOff>44450</xdr:rowOff>
    </xdr:to>
    <xdr:graphicFrame macro="">
      <xdr:nvGraphicFramePr>
        <xdr:cNvPr id="30" name="Chart 29">
          <a:extLst>
            <a:ext uri="{FF2B5EF4-FFF2-40B4-BE49-F238E27FC236}">
              <a16:creationId xmlns:a16="http://schemas.microsoft.com/office/drawing/2014/main" id="{FF36B582-CA2A-474D-924C-EC2B71A2D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11</xdr:col>
      <xdr:colOff>69850</xdr:colOff>
      <xdr:row>8</xdr:row>
      <xdr:rowOff>139700</xdr:rowOff>
    </xdr:from>
    <xdr:to>
      <xdr:col>13</xdr:col>
      <xdr:colOff>552450</xdr:colOff>
      <xdr:row>10</xdr:row>
      <xdr:rowOff>38100</xdr:rowOff>
    </xdr:to>
    <xdr:sp macro="" textlink="">
      <xdr:nvSpPr>
        <xdr:cNvPr id="14" name="TextBox 13">
          <a:extLst>
            <a:ext uri="{FF2B5EF4-FFF2-40B4-BE49-F238E27FC236}">
              <a16:creationId xmlns:a16="http://schemas.microsoft.com/office/drawing/2014/main" id="{BBBA8DF4-4AFE-4890-B9FD-E8F8DEFB8FF2}"/>
            </a:ext>
          </a:extLst>
        </xdr:cNvPr>
        <xdr:cNvSpPr txBox="1"/>
      </xdr:nvSpPr>
      <xdr:spPr>
        <a:xfrm>
          <a:off x="6775450" y="1612900"/>
          <a:ext cx="1701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latin typeface="Aptos Narrow" panose="020B0004020202020204" pitchFamily="34" charset="0"/>
            </a:rPr>
            <a:t>Number</a:t>
          </a:r>
          <a:r>
            <a:rPr lang="en-IN" sz="900" b="1" baseline="0">
              <a:latin typeface="Aptos Narrow" panose="020B0004020202020204" pitchFamily="34" charset="0"/>
            </a:rPr>
            <a:t> of Patient by Department Referral</a:t>
          </a:r>
          <a:endParaRPr lang="en-IN" sz="900" b="1">
            <a:latin typeface="Aptos Narrow" panose="020B0004020202020204" pitchFamily="34" charset="0"/>
          </a:endParaRPr>
        </a:p>
      </xdr:txBody>
    </xdr:sp>
    <xdr:clientData/>
  </xdr:twoCellAnchor>
  <xdr:twoCellAnchor editAs="oneCell">
    <xdr:from>
      <xdr:col>6</xdr:col>
      <xdr:colOff>355600</xdr:colOff>
      <xdr:row>0</xdr:row>
      <xdr:rowOff>139701</xdr:rowOff>
    </xdr:from>
    <xdr:to>
      <xdr:col>9</xdr:col>
      <xdr:colOff>94826</xdr:colOff>
      <xdr:row>3</xdr:row>
      <xdr:rowOff>38100</xdr:rowOff>
    </xdr:to>
    <mc:AlternateContent xmlns:mc="http://schemas.openxmlformats.org/markup-compatibility/2006">
      <mc:Choice xmlns:a14="http://schemas.microsoft.com/office/drawing/2010/main" Requires="a14">
        <xdr:graphicFrame macro="">
          <xdr:nvGraphicFramePr>
            <xdr:cNvPr id="19" name="Date (Year)">
              <a:extLst>
                <a:ext uri="{FF2B5EF4-FFF2-40B4-BE49-F238E27FC236}">
                  <a16:creationId xmlns:a16="http://schemas.microsoft.com/office/drawing/2014/main" id="{980A9549-488B-4B59-83BB-81DD0F54E26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022725" y="139701"/>
              <a:ext cx="1572789" cy="446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0</xdr:row>
      <xdr:rowOff>139700</xdr:rowOff>
    </xdr:from>
    <xdr:to>
      <xdr:col>11</xdr:col>
      <xdr:colOff>222250</xdr:colOff>
      <xdr:row>14</xdr:row>
      <xdr:rowOff>146050</xdr:rowOff>
    </xdr:to>
    <xdr:graphicFrame macro="">
      <xdr:nvGraphicFramePr>
        <xdr:cNvPr id="2" name="Chart 1">
          <a:extLst>
            <a:ext uri="{FF2B5EF4-FFF2-40B4-BE49-F238E27FC236}">
              <a16:creationId xmlns:a16="http://schemas.microsoft.com/office/drawing/2014/main" id="{7A90BD08-A63F-499D-B0B2-BA3E02060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42334</xdr:colOff>
      <xdr:row>0</xdr:row>
      <xdr:rowOff>121710</xdr:rowOff>
    </xdr:from>
    <xdr:to>
      <xdr:col>1</xdr:col>
      <xdr:colOff>375708</xdr:colOff>
      <xdr:row>2</xdr:row>
      <xdr:rowOff>84667</xdr:rowOff>
    </xdr:to>
    <xdr:pic>
      <xdr:nvPicPr>
        <xdr:cNvPr id="3" name="Graphic 2" descr="Home">
          <a:hlinkClick xmlns:r="http://schemas.openxmlformats.org/officeDocument/2006/relationships" r:id="rId2"/>
          <a:extLst>
            <a:ext uri="{FF2B5EF4-FFF2-40B4-BE49-F238E27FC236}">
              <a16:creationId xmlns:a16="http://schemas.microsoft.com/office/drawing/2014/main" id="{91509B5E-C0BA-4494-9589-F787434DD98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0876" y="121710"/>
          <a:ext cx="333374" cy="3333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6350</xdr:colOff>
      <xdr:row>1</xdr:row>
      <xdr:rowOff>25400</xdr:rowOff>
    </xdr:from>
    <xdr:to>
      <xdr:col>14</xdr:col>
      <xdr:colOff>298450</xdr:colOff>
      <xdr:row>22</xdr:row>
      <xdr:rowOff>12700</xdr:rowOff>
    </xdr:to>
    <xdr:graphicFrame macro="">
      <xdr:nvGraphicFramePr>
        <xdr:cNvPr id="3" name="Chart 2">
          <a:extLst>
            <a:ext uri="{FF2B5EF4-FFF2-40B4-BE49-F238E27FC236}">
              <a16:creationId xmlns:a16="http://schemas.microsoft.com/office/drawing/2014/main" id="{DD4E34C1-2089-450C-86E5-4AFEEA3E8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69850</xdr:colOff>
      <xdr:row>1</xdr:row>
      <xdr:rowOff>25400</xdr:rowOff>
    </xdr:from>
    <xdr:to>
      <xdr:col>1</xdr:col>
      <xdr:colOff>403224</xdr:colOff>
      <xdr:row>2</xdr:row>
      <xdr:rowOff>174624</xdr:rowOff>
    </xdr:to>
    <xdr:pic>
      <xdr:nvPicPr>
        <xdr:cNvPr id="2" name="Graphic 1" descr="Home">
          <a:hlinkClick xmlns:r="http://schemas.openxmlformats.org/officeDocument/2006/relationships" r:id="rId2"/>
          <a:extLst>
            <a:ext uri="{FF2B5EF4-FFF2-40B4-BE49-F238E27FC236}">
              <a16:creationId xmlns:a16="http://schemas.microsoft.com/office/drawing/2014/main" id="{988CA3EB-1E56-412E-A69A-C0AB24A526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9450" y="209550"/>
          <a:ext cx="333374" cy="3333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288636</xdr:colOff>
      <xdr:row>3</xdr:row>
      <xdr:rowOff>155863</xdr:rowOff>
    </xdr:from>
    <xdr:to>
      <xdr:col>12</xdr:col>
      <xdr:colOff>483755</xdr:colOff>
      <xdr:row>19</xdr:row>
      <xdr:rowOff>87746</xdr:rowOff>
    </xdr:to>
    <xdr:graphicFrame macro="">
      <xdr:nvGraphicFramePr>
        <xdr:cNvPr id="2" name="Chart 1">
          <a:extLst>
            <a:ext uri="{FF2B5EF4-FFF2-40B4-BE49-F238E27FC236}">
              <a16:creationId xmlns:a16="http://schemas.microsoft.com/office/drawing/2014/main" id="{2EDEBDB2-43BD-4CAA-8757-1FFD1E30C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334818</xdr:colOff>
      <xdr:row>3</xdr:row>
      <xdr:rowOff>161637</xdr:rowOff>
    </xdr:from>
    <xdr:to>
      <xdr:col>2</xdr:col>
      <xdr:colOff>56283</xdr:colOff>
      <xdr:row>5</xdr:row>
      <xdr:rowOff>125557</xdr:rowOff>
    </xdr:to>
    <xdr:pic>
      <xdr:nvPicPr>
        <xdr:cNvPr id="3" name="Graphic 2" descr="Home">
          <a:hlinkClick xmlns:r="http://schemas.openxmlformats.org/officeDocument/2006/relationships" r:id="rId2"/>
          <a:extLst>
            <a:ext uri="{FF2B5EF4-FFF2-40B4-BE49-F238E27FC236}">
              <a16:creationId xmlns:a16="http://schemas.microsoft.com/office/drawing/2014/main" id="{AAB022C1-4E6F-46A3-B63A-77C0AAA4B8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6727" y="715819"/>
          <a:ext cx="333374" cy="33337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9962037038" backgroundQuery="1" createdVersion="8" refreshedVersion="8" minRefreshableVersion="3" recordCount="0" supportSubquery="1" supportAdvancedDrill="1" xr:uid="{0BA1CD2D-C1F0-456D-9870-4F7FA90136C3}">
  <cacheSource type="external" connectionId="3"/>
  <cacheFields count="4">
    <cacheField name="[Calender_Table].[Date (Month)].[Date (Month)]" caption="Date (Month)" numFmtId="0" hierarchy="1" level="1">
      <sharedItems count="1">
        <s v="Feb"/>
      </sharedItems>
    </cacheField>
    <cacheField name="[Calende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99625" backgroundQuery="1" createdVersion="8" refreshedVersion="8" minRefreshableVersion="3" recordCount="0" supportSubquery="1" supportAdvancedDrill="1" xr:uid="{3B84780F-3B2F-4564-A4CD-D07996CF0EA7}">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9962962962" backgroundQuery="1" createdVersion="8" refreshedVersion="8" minRefreshableVersion="3" recordCount="0" supportSubquery="1" supportAdvancedDrill="1" xr:uid="{B189F090-1098-416E-B83F-00A884637632}">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9963657408" backgroundQuery="1" createdVersion="8" refreshedVersion="8" minRefreshableVersion="3" recordCount="0" supportSubquery="1" supportAdvancedDrill="1" xr:uid="{9A725A19-BE3C-4109-ABD9-79E754A4BA59}">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996412037" backgroundQuery="1" createdVersion="8" refreshedVersion="8" minRefreshableVersion="3" recordCount="0" supportSubquery="1" supportAdvancedDrill="1" xr:uid="{45420289-9DE1-4458-B02E-620832714866}">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9964467593" backgroundQuery="1" createdVersion="8" refreshedVersion="8" minRefreshableVersion="3" recordCount="0" supportSubquery="1" supportAdvancedDrill="1" xr:uid="{0E4995D9-C82E-48C2-A596-9A7B81FDC1E4}">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996516204" backgroundQuery="1" createdVersion="8" refreshedVersion="8" minRefreshableVersion="3" recordCount="0" supportSubquery="1" supportAdvancedDrill="1" xr:uid="{B1F458C8-849C-4BB9-B81E-1ED8668F27B8}">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996574074" backgroundQuery="1" createdVersion="8" refreshedVersion="8" minRefreshableVersion="3" recordCount="0" supportSubquery="1" supportAdvancedDrill="1" xr:uid="{5F61AE5E-A918-4B2E-8E15-97F1E330FBAB}">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9966435187" backgroundQuery="1" createdVersion="8" refreshedVersion="8" minRefreshableVersion="3" recordCount="0" supportSubquery="1" supportAdvancedDrill="1" xr:uid="{74B5CBAC-22B0-4D7C-AFE8-7AADC9C91800}">
  <cacheSource type="external" connectionId="3"/>
  <cacheFields count="4">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9967129626" backgroundQuery="1" createdVersion="8" refreshedVersion="8" minRefreshableVersion="3" recordCount="0" supportSubquery="1" supportAdvancedDrill="1" xr:uid="{E553CF1E-48A5-49AE-8BEC-DF57280371E0}">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9967708334" backgroundQuery="1" createdVersion="8" refreshedVersion="8" minRefreshableVersion="3" recordCount="0" supportSubquery="1" supportAdvancedDrill="1" xr:uid="{8DE376EA-9153-405D-8242-383726A3251C}">
  <cacheSource type="external" connectionId="3"/>
  <cacheFields count="4">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996840278" backgroundQuery="1" createdVersion="8" refreshedVersion="8" minRefreshableVersion="3" recordCount="0" supportSubquery="1" supportAdvancedDrill="1" xr:uid="{EFA597DA-9D49-4C69-A50A-9F9209685EF9}">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1.894429282409" backgroundQuery="1" createdVersion="3" refreshedVersion="8" minRefreshableVersion="3" recordCount="0" supportSubquery="1" supportAdvancedDrill="1" xr:uid="{8E6612FB-932C-4904-81F1-22337DDE243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193645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388072-561D-415E-8D43-D9C7A8045EF2}" name="PivotTable13" cacheId="992" applyNumberFormats="0" applyBorderFormats="0" applyFontFormats="0" applyPatternFormats="0" applyAlignmentFormats="0" applyWidthHeightFormats="1" dataCaption="Values" tag="eee749ac-cdad-4fbc-8f6d-99d4f36da180" updatedVersion="8" minRefreshableVersion="3" subtotalHiddenItems="1" itemPrintTitles="1" createdVersion="8" indent="0" outline="1" outlineData="1" multipleFieldFilters="0" chartFormat="41">
  <location ref="A90:B94" firstHeaderRow="1" firstDataRow="5" firstDataCol="0"/>
  <pivotFields count="4">
    <pivotField axis="axisCol" allDrilled="1" subtotalTop="0" showAll="0" dataSourceSort="1" defaultSubtotal="0">
      <items count="1">
        <item x="0" e="0"/>
      </items>
    </pivotField>
    <pivotField axis="axisCol"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Col" allDrilled="1" subtotalTop="0" showAll="0" dataSourceSort="1" defaultSubtotal="0">
      <items count="1">
        <item x="0" e="0"/>
      </items>
    </pivotField>
    <pivotField axis="axisCol" allDrilled="1" subtotalTop="0" showAll="0" dataSourceSort="1" defaultSubtotal="0">
      <items count="1">
        <item s="1" x="0" e="0"/>
      </items>
    </pivotField>
  </pivotFields>
  <colFields count="4">
    <field x="3"/>
    <field x="2"/>
    <field x="0"/>
    <field x="1"/>
  </colFields>
  <colItems count="2">
    <i>
      <x/>
    </i>
    <i t="grand">
      <x/>
    </i>
  </colItems>
  <formats count="2">
    <format dxfId="21">
      <pivotArea grandRow="1" outline="0" collapsedLevelsAreSubtotals="1" fieldPosition="0"/>
    </format>
    <format dxfId="22">
      <pivotArea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4">
    <colHierarchyUsage hierarchyUsage="3"/>
    <colHierarchyUsage hierarchyUsage="4"/>
    <colHierarchyUsage hierarchyUsage="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C3D8EA-E4EF-455E-845E-863E14A5DE91}" name="PivotTable9" cacheId="1025" applyNumberFormats="0" applyBorderFormats="0" applyFontFormats="0" applyPatternFormats="0" applyAlignmentFormats="0" applyWidthHeightFormats="1" dataCaption="Values" tag="eee749ac-cdad-4fbc-8f6d-99d4f36da180" updatedVersion="8" minRefreshableVersion="3" subtotalHiddenItems="1" itemPrintTitles="1" createdVersion="8" indent="0" outline="1" outlineData="1" multipleFieldFilters="0" chartFormat="18">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25">
      <pivotArea outline="0" collapsedLevelsAreSubtotals="1" fieldPosition="0"/>
    </format>
    <format dxfId="24">
      <pivotArea grandRow="1" outline="0" collapsedLevelsAreSubtotals="1" fieldPosition="0"/>
    </format>
    <format dxfId="23">
      <pivotArea collapsedLevelsAreSubtotals="1" fieldPosition="0">
        <references count="1">
          <reference field="1" count="0"/>
        </references>
      </pivotArea>
    </format>
  </format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8B1DC0-4913-42BE-B77A-FE322142879A}" name="PivotTable6" cacheId="1016" applyNumberFormats="0" applyBorderFormats="0" applyFontFormats="0" applyPatternFormats="0" applyAlignmentFormats="0" applyWidthHeightFormats="1" dataCaption="Values" tag="eee749ac-cdad-4fbc-8f6d-99d4f36da180" updatedVersion="8" minRefreshableVersion="3" subtotalHiddenItems="1" itemPrintTitles="1" createdVersion="8" indent="0" outline="1" outlineData="1" multipleFieldFilters="0" chartFormat="25">
  <location ref="G4:H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26">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577BEA-EDA9-454C-8530-AD5E3AD3A647}" name="PivotTable3" cacheId="1007" applyNumberFormats="0" applyBorderFormats="0" applyFontFormats="0" applyPatternFormats="0" applyAlignmentFormats="0" applyWidthHeightFormats="1" dataCaption="Values" tag="eee749ac-cdad-4fbc-8f6d-99d4f36da180" updatedVersion="8" minRefreshableVersion="3" subtotalHiddenItems="1" itemPrintTitles="1" createdVersion="8"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7">
      <pivotArea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21A09E-40BE-46C5-ADF4-CAAA19FE75B3}" name="PivotTable4" cacheId="1010" applyNumberFormats="0" applyBorderFormats="0" applyFontFormats="0" applyPatternFormats="0" applyAlignmentFormats="0" applyWidthHeightFormats="1" dataCaption="Values" tag="eee749ac-cdad-4fbc-8f6d-99d4f36da180" updatedVersion="8" minRefreshableVersion="3" subtotalHiddenItems="1" itemPrintTitles="1" createdVersion="8" indent="0" outline="1" outlineData="1" multipleFieldFilters="0" chartFormat="16">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A8DEA6-924A-4BF3-A27E-BFB728D591BA}" name="PivotTable5" cacheId="1013" applyNumberFormats="0" applyBorderFormats="0" applyFontFormats="0" applyPatternFormats="0" applyAlignmentFormats="0" applyWidthHeightFormats="1" dataCaption="Values" tag="eee749ac-cdad-4fbc-8f6d-99d4f36da180" updatedVersion="8" minRefreshableVersion="3" subtotalHiddenItems="1" itemPrintTitles="1" createdVersion="8" indent="0" outline="1" outlineData="1" multipleFieldFilters="0" chartFormat="13">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64">
      <extLst>
        <ext xmlns:x14="http://schemas.microsoft.com/office/spreadsheetml/2009/9/main" uri="{E15A36E0-9728-4e99-A89B-3F7291B0FE68}">
          <x14:dataField sourceField="2" uniqueName="[__Xl2].[Measures].[Count of Patient Admission Flag]"/>
        </ext>
      </extLst>
    </dataField>
  </dataFields>
  <formats count="6">
    <format dxfId="33">
      <pivotArea outline="0" collapsedLevelsAreSubtotals="1" fieldPosition="0"/>
    </format>
    <format dxfId="32">
      <pivotArea collapsedLevelsAreSubtotals="1" fieldPosition="0">
        <references count="1">
          <reference field="1" count="1">
            <x v="0"/>
          </reference>
        </references>
      </pivotArea>
    </format>
    <format dxfId="31">
      <pivotArea collapsedLevelsAreSubtotals="1" fieldPosition="0">
        <references count="1">
          <reference field="1" count="1">
            <x v="1"/>
          </reference>
        </references>
      </pivotArea>
    </format>
    <format dxfId="30">
      <pivotArea grandRow="1" outline="0" collapsedLevelsAreSubtotals="1" fieldPosition="0"/>
    </format>
    <format dxfId="29">
      <pivotArea outline="0" fieldPosition="0">
        <references count="1">
          <reference field="4294967294" count="1">
            <x v="1"/>
          </reference>
        </references>
      </pivotArea>
    </format>
    <format dxfId="28">
      <pivotArea outline="0" collapsedLevelsAreSubtotals="1" fieldPosition="0">
        <references count="1">
          <reference field="4294967294" count="1" selected="0">
            <x v="1"/>
          </reference>
        </references>
      </pivotArea>
    </format>
  </format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series="1">
      <pivotArea type="data" outline="0" fieldPosition="0">
        <references count="1">
          <reference field="4294967294"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 count="1" selected="0">
            <x v="0"/>
          </reference>
        </references>
      </pivotArea>
    </chartFormat>
    <chartFormat chart="12" format="18" series="1">
      <pivotArea type="data" outline="0" fieldPosition="0">
        <references count="1">
          <reference field="4294967294" count="1" selected="0">
            <x v="1"/>
          </reference>
        </references>
      </pivotArea>
    </chartFormat>
    <chartFormat chart="12" format="19">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EEAE63-A52B-4ECE-BE69-B2AE96B2C763}" name="PivotTable11" cacheId="1001" applyNumberFormats="0" applyBorderFormats="0" applyFontFormats="0" applyPatternFormats="0" applyAlignmentFormats="0" applyWidthHeightFormats="1" dataCaption="Values" tag="eee749ac-cdad-4fbc-8f6d-99d4f36da180" updatedVersion="8" minRefreshableVersion="3" subtotalHiddenItems="1" itemPrintTitles="1" createdVersion="8" indent="0" outline="1" outlineData="1" multipleFieldFilters="0" chartFormat="41">
  <location ref="A78:B8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2">
    <format dxfId="35">
      <pivotArea grandRow="1" outline="0" collapsedLevelsAreSubtotals="1" fieldPosition="0"/>
    </format>
    <format dxfId="34">
      <pivotArea outline="0" collapsedLevelsAreSubtotals="1" fieldPosition="0"/>
    </format>
  </formats>
  <chartFormats count="3">
    <chartFormat chart="35"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045B8A-74D3-4F41-A302-B7CA69A55329}" name="PivotTable7" cacheId="1019" applyNumberFormats="0" applyBorderFormats="0" applyFontFormats="0" applyPatternFormats="0" applyAlignmentFormats="0" applyWidthHeightFormats="1" dataCaption="Values" tag="eee749ac-cdad-4fbc-8f6d-99d4f36da180" updatedVersion="8" minRefreshableVersion="3" subtotalHiddenItems="1" itemPrintTitles="1" createdVersion="8" indent="0" outline="1" outlineData="1" multipleFieldFilters="0" chartFormat="37">
  <location ref="A72: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37">
      <pivotArea grandRow="1" outline="0" collapsedLevelsAreSubtotals="1" fieldPosition="0"/>
    </format>
    <format dxfId="36">
      <pivotArea outline="0" collapsedLevelsAreSubtotals="1" fieldPosition="0"/>
    </format>
  </formats>
  <chartFormats count="6">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1" count="1" selected="0">
            <x v="0"/>
          </reference>
        </references>
      </pivotArea>
    </chartFormat>
    <chartFormat chart="24" format="3">
      <pivotArea type="data" outline="0" fieldPosition="0">
        <references count="2">
          <reference field="4294967294" count="1" selected="0">
            <x v="0"/>
          </reference>
          <reference field="1"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2D867E-CB1A-40DD-9C42-98A263A1DB30}" name="PivotTable2" cacheId="1004" applyNumberFormats="0" applyBorderFormats="0" applyFontFormats="0" applyPatternFormats="0" applyAlignmentFormats="0" applyWidthHeightFormats="1" dataCaption="Values" tag="eee749ac-cdad-4fbc-8f6d-99d4f36da180"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8">
      <pivotArea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0437A4-F5A0-4EA3-B3D6-10995A064F9F}" name="PivotTable10" cacheId="998" applyNumberFormats="0" applyBorderFormats="0" applyFontFormats="0" applyPatternFormats="0" applyAlignmentFormats="0" applyWidthHeightFormats="1" dataCaption="Values" tag="eee749ac-cdad-4fbc-8f6d-99d4f36da180" updatedVersion="8" minRefreshableVersion="3" subtotalHiddenItems="1" itemPrintTitles="1" createdVersion="8" indent="0" outline="1" outlineData="1" multipleFieldFilters="0" chartFormat="23">
  <location ref="A66: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40">
      <pivotArea grandRow="1" outline="0" collapsedLevelsAreSubtotals="1" fieldPosition="0"/>
    </format>
    <format dxfId="39">
      <pivotArea outline="0" collapsedLevelsAreSubtotals="1" fieldPosition="0"/>
    </format>
  </formats>
  <chartFormats count="7">
    <chartFormat chart="16"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1" count="1" selected="0">
            <x v="0"/>
          </reference>
        </references>
      </pivotArea>
    </chartFormat>
    <chartFormat chart="18" format="3">
      <pivotArea type="data" outline="0" fieldPosition="0">
        <references count="2">
          <reference field="4294967294" count="1" selected="0">
            <x v="0"/>
          </reference>
          <reference field="1"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D3A868-1BB5-4D93-A909-CEB4011C72DE}" name="PivotTable1" cacheId="995" applyNumberFormats="0" applyBorderFormats="0" applyFontFormats="0" applyPatternFormats="0" applyAlignmentFormats="0" applyWidthHeightFormats="1" dataCaption="Values" tag="eee749ac-cdad-4fbc-8f6d-99d4f36da180"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6012B7-57A6-4BF0-8182-C0160D730B56}" name="PivotTable8" cacheId="1022" applyNumberFormats="0" applyBorderFormats="0" applyFontFormats="0" applyPatternFormats="0" applyAlignmentFormats="0" applyWidthHeightFormats="1" dataCaption="Values" tag="eee749ac-cdad-4fbc-8f6d-99d4f36da180" updatedVersion="8" minRefreshableVersion="3" subtotalHiddenItems="1" itemPrintTitles="1" createdVersion="8" indent="0" outline="1" outlineData="1" multipleFieldFilters="0" chartFormat="31">
  <location ref="J4:K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41">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D07EFEF-9C20-4A88-9CAC-D7C4830BFEDE}" sourceName="[Calender_Table].[Date (Month)]">
  <pivotTables>
    <pivotTable tabId="1" name="PivotTable4"/>
    <pivotTable tabId="1" name="PivotTable1"/>
    <pivotTable tabId="1" name="PivotTable2"/>
    <pivotTable tabId="1" name="PivotTable3"/>
    <pivotTable tabId="1" name="PivotTable6"/>
    <pivotTable tabId="1" name="PivotTable8"/>
    <pivotTable tabId="1" name="PivotTable5"/>
    <pivotTable tabId="1" name="PivotTable9"/>
    <pivotTable tabId="1" name="PivotTable10"/>
    <pivotTable tabId="1" name="PivotTable7"/>
    <pivotTable tabId="1" name="PivotTable11"/>
    <pivotTable tabId="1" name="PivotTable13"/>
  </pivotTables>
  <data>
    <olap pivotCacheId="71936453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69D5792-6173-4B6E-A7CF-0EED887CAEC9}" sourceName="[Calender_Table].[Date (Year)]">
  <pivotTables>
    <pivotTable tabId="1" name="PivotTable13"/>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1936453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2B26C88-61BA-40D6-BD8D-2902974DE966}" cache="Slicer_Date__Month" caption="Date (Month)" showCaption="0" level="1" style="MyStyle" rowHeight="169200"/>
  <slicer name="Date (Year)" xr10:uid="{A6A033CE-54B3-48AE-85E3-03314EE1BFDA}" cache="Slicer_Date__Year" caption="Date (Year)" columnCount="2" showCaption="0" level="1" style="MyStyle" rowHeight="288000"/>
</slicer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4A51-C2EF-4C76-BE80-CC38B54F6726}">
  <dimension ref="A3:K91"/>
  <sheetViews>
    <sheetView topLeftCell="C36" workbookViewId="0">
      <selection activeCell="B93" sqref="B93"/>
    </sheetView>
  </sheetViews>
  <sheetFormatPr defaultRowHeight="14.5" x14ac:dyDescent="0.35"/>
  <cols>
    <col min="1" max="1" width="18" customWidth="1"/>
    <col min="2" max="2" width="21" customWidth="1"/>
    <col min="3" max="3" width="13.1796875" customWidth="1"/>
    <col min="4" max="4" width="21.08984375" customWidth="1"/>
    <col min="5" max="5" width="23.81640625" bestFit="1" customWidth="1"/>
    <col min="8" max="8" width="24.81640625" bestFit="1" customWidth="1"/>
    <col min="11" max="11" width="31.90625" bestFit="1" customWidth="1"/>
  </cols>
  <sheetData>
    <row r="3" spans="1:11" x14ac:dyDescent="0.35">
      <c r="A3" t="s">
        <v>1</v>
      </c>
      <c r="D3" t="s">
        <v>7</v>
      </c>
      <c r="G3" t="s">
        <v>8</v>
      </c>
      <c r="J3" t="s">
        <v>9</v>
      </c>
    </row>
    <row r="4" spans="1:11" x14ac:dyDescent="0.35">
      <c r="A4" t="s">
        <v>0</v>
      </c>
      <c r="D4" s="1" t="s">
        <v>5</v>
      </c>
      <c r="E4" t="s">
        <v>0</v>
      </c>
      <c r="G4" s="1" t="s">
        <v>5</v>
      </c>
      <c r="H4" t="s">
        <v>2</v>
      </c>
      <c r="J4" s="1" t="s">
        <v>5</v>
      </c>
      <c r="K4" t="s">
        <v>3</v>
      </c>
    </row>
    <row r="5" spans="1:11" x14ac:dyDescent="0.35">
      <c r="A5" s="13">
        <v>471</v>
      </c>
      <c r="D5" s="4" t="s">
        <v>49</v>
      </c>
      <c r="E5" s="13">
        <v>20</v>
      </c>
      <c r="G5" s="4" t="s">
        <v>49</v>
      </c>
      <c r="H5" s="2">
        <v>37.4</v>
      </c>
      <c r="J5" s="4" t="s">
        <v>49</v>
      </c>
      <c r="K5" s="2">
        <v>4.8571428571428568</v>
      </c>
    </row>
    <row r="6" spans="1:11" x14ac:dyDescent="0.35">
      <c r="D6" s="4" t="s">
        <v>50</v>
      </c>
      <c r="E6" s="13">
        <v>11</v>
      </c>
      <c r="G6" s="4" t="s">
        <v>50</v>
      </c>
      <c r="H6" s="2">
        <v>38.545454545454547</v>
      </c>
      <c r="J6" s="4" t="s">
        <v>50</v>
      </c>
      <c r="K6" s="2">
        <v>8</v>
      </c>
    </row>
    <row r="7" spans="1:11" x14ac:dyDescent="0.35">
      <c r="D7" s="4" t="s">
        <v>51</v>
      </c>
      <c r="E7" s="13">
        <v>18</v>
      </c>
      <c r="G7" s="4" t="s">
        <v>51</v>
      </c>
      <c r="H7" s="2">
        <v>31.333333333333332</v>
      </c>
      <c r="J7" s="4" t="s">
        <v>51</v>
      </c>
      <c r="K7" s="2">
        <v>6</v>
      </c>
    </row>
    <row r="8" spans="1:11" x14ac:dyDescent="0.35">
      <c r="A8" t="s">
        <v>2</v>
      </c>
      <c r="D8" s="4" t="s">
        <v>52</v>
      </c>
      <c r="E8" s="13">
        <v>16</v>
      </c>
      <c r="G8" s="4" t="s">
        <v>52</v>
      </c>
      <c r="H8" s="2">
        <v>36.5</v>
      </c>
      <c r="J8" s="4" t="s">
        <v>52</v>
      </c>
      <c r="K8" s="2">
        <v>6.8</v>
      </c>
    </row>
    <row r="9" spans="1:11" x14ac:dyDescent="0.35">
      <c r="A9" s="2">
        <v>34.050955414012741</v>
      </c>
      <c r="D9" s="4" t="s">
        <v>53</v>
      </c>
      <c r="E9" s="13">
        <v>11</v>
      </c>
      <c r="G9" s="4" t="s">
        <v>53</v>
      </c>
      <c r="H9" s="2">
        <v>25.727272727272727</v>
      </c>
      <c r="J9" s="4" t="s">
        <v>53</v>
      </c>
      <c r="K9" s="2">
        <v>3.5</v>
      </c>
    </row>
    <row r="10" spans="1:11" x14ac:dyDescent="0.35">
      <c r="D10" s="4" t="s">
        <v>54</v>
      </c>
      <c r="E10" s="13">
        <v>11</v>
      </c>
      <c r="G10" s="4" t="s">
        <v>54</v>
      </c>
      <c r="H10" s="2">
        <v>29.272727272727273</v>
      </c>
      <c r="J10" s="4" t="s">
        <v>54</v>
      </c>
      <c r="K10" s="2">
        <v>0.5</v>
      </c>
    </row>
    <row r="11" spans="1:11" x14ac:dyDescent="0.35">
      <c r="D11" s="4" t="s">
        <v>55</v>
      </c>
      <c r="E11" s="13">
        <v>14</v>
      </c>
      <c r="G11" s="4" t="s">
        <v>55</v>
      </c>
      <c r="H11" s="2">
        <v>33.5</v>
      </c>
      <c r="J11" s="4" t="s">
        <v>55</v>
      </c>
      <c r="K11" s="2">
        <v>4</v>
      </c>
    </row>
    <row r="12" spans="1:11" x14ac:dyDescent="0.35">
      <c r="D12" s="4" t="s">
        <v>56</v>
      </c>
      <c r="E12" s="13">
        <v>16</v>
      </c>
      <c r="G12" s="4" t="s">
        <v>56</v>
      </c>
      <c r="H12" s="2">
        <v>27.1875</v>
      </c>
      <c r="J12" s="4" t="s">
        <v>56</v>
      </c>
      <c r="K12" s="2">
        <v>4.75</v>
      </c>
    </row>
    <row r="13" spans="1:11" x14ac:dyDescent="0.35">
      <c r="A13" t="s">
        <v>3</v>
      </c>
      <c r="D13" s="4" t="s">
        <v>57</v>
      </c>
      <c r="E13" s="13">
        <v>18</v>
      </c>
      <c r="G13" s="4" t="s">
        <v>57</v>
      </c>
      <c r="H13" s="2">
        <v>30.333333333333332</v>
      </c>
      <c r="J13" s="4" t="s">
        <v>57</v>
      </c>
      <c r="K13" s="2">
        <v>5</v>
      </c>
    </row>
    <row r="14" spans="1:11" x14ac:dyDescent="0.35">
      <c r="A14" s="2">
        <v>5.3120000000000003</v>
      </c>
      <c r="D14" s="4" t="s">
        <v>58</v>
      </c>
      <c r="E14" s="13">
        <v>10</v>
      </c>
      <c r="G14" s="4" t="s">
        <v>58</v>
      </c>
      <c r="H14" s="2">
        <v>32.5</v>
      </c>
      <c r="J14" s="4" t="s">
        <v>58</v>
      </c>
      <c r="K14" s="2">
        <v>10</v>
      </c>
    </row>
    <row r="15" spans="1:11" x14ac:dyDescent="0.35">
      <c r="D15" s="4" t="s">
        <v>59</v>
      </c>
      <c r="E15" s="13">
        <v>23</v>
      </c>
      <c r="G15" s="4" t="s">
        <v>59</v>
      </c>
      <c r="H15" s="2">
        <v>33.565217391304351</v>
      </c>
      <c r="J15" s="4" t="s">
        <v>59</v>
      </c>
      <c r="K15" s="2">
        <v>5.5</v>
      </c>
    </row>
    <row r="16" spans="1:11" x14ac:dyDescent="0.35">
      <c r="D16" s="4" t="s">
        <v>60</v>
      </c>
      <c r="E16" s="13">
        <v>19</v>
      </c>
      <c r="G16" s="4" t="s">
        <v>60</v>
      </c>
      <c r="H16" s="2">
        <v>37.473684210526315</v>
      </c>
      <c r="J16" s="4" t="s">
        <v>60</v>
      </c>
      <c r="K16" s="2">
        <v>4</v>
      </c>
    </row>
    <row r="17" spans="4:11" x14ac:dyDescent="0.35">
      <c r="D17" s="4" t="s">
        <v>61</v>
      </c>
      <c r="E17" s="13">
        <v>14</v>
      </c>
      <c r="G17" s="4" t="s">
        <v>61</v>
      </c>
      <c r="H17" s="2">
        <v>33.857142857142854</v>
      </c>
      <c r="J17" s="4" t="s">
        <v>61</v>
      </c>
      <c r="K17" s="2">
        <v>2.6666666666666665</v>
      </c>
    </row>
    <row r="18" spans="4:11" x14ac:dyDescent="0.35">
      <c r="D18" s="4" t="s">
        <v>62</v>
      </c>
      <c r="E18" s="13">
        <v>20</v>
      </c>
      <c r="G18" s="4" t="s">
        <v>62</v>
      </c>
      <c r="H18" s="2">
        <v>32.25</v>
      </c>
      <c r="J18" s="4" t="s">
        <v>62</v>
      </c>
      <c r="K18" s="2">
        <v>5.1111111111111107</v>
      </c>
    </row>
    <row r="19" spans="4:11" x14ac:dyDescent="0.35">
      <c r="D19" s="4" t="s">
        <v>63</v>
      </c>
      <c r="E19" s="13">
        <v>15</v>
      </c>
      <c r="G19" s="4" t="s">
        <v>63</v>
      </c>
      <c r="H19" s="2">
        <v>43.666666666666664</v>
      </c>
      <c r="J19" s="4" t="s">
        <v>63</v>
      </c>
      <c r="K19" s="2">
        <v>6.25</v>
      </c>
    </row>
    <row r="20" spans="4:11" x14ac:dyDescent="0.35">
      <c r="D20" s="4" t="s">
        <v>64</v>
      </c>
      <c r="E20" s="13">
        <v>12</v>
      </c>
      <c r="G20" s="4" t="s">
        <v>64</v>
      </c>
      <c r="H20" s="2">
        <v>30.166666666666668</v>
      </c>
      <c r="J20" s="4" t="s">
        <v>64</v>
      </c>
      <c r="K20" s="2">
        <v>6.333333333333333</v>
      </c>
    </row>
    <row r="21" spans="4:11" x14ac:dyDescent="0.35">
      <c r="D21" s="4" t="s">
        <v>65</v>
      </c>
      <c r="E21" s="13">
        <v>17</v>
      </c>
      <c r="G21" s="4" t="s">
        <v>65</v>
      </c>
      <c r="H21" s="2">
        <v>33.823529411764703</v>
      </c>
      <c r="J21" s="4" t="s">
        <v>65</v>
      </c>
      <c r="K21" s="2">
        <v>7.666666666666667</v>
      </c>
    </row>
    <row r="22" spans="4:11" x14ac:dyDescent="0.35">
      <c r="D22" s="4" t="s">
        <v>66</v>
      </c>
      <c r="E22" s="13">
        <v>18</v>
      </c>
      <c r="G22" s="4" t="s">
        <v>66</v>
      </c>
      <c r="H22" s="2">
        <v>32.5</v>
      </c>
      <c r="J22" s="4" t="s">
        <v>66</v>
      </c>
      <c r="K22" s="2">
        <v>5.8</v>
      </c>
    </row>
    <row r="23" spans="4:11" x14ac:dyDescent="0.35">
      <c r="D23" s="4" t="s">
        <v>67</v>
      </c>
      <c r="E23" s="13">
        <v>16</v>
      </c>
      <c r="G23" s="4" t="s">
        <v>67</v>
      </c>
      <c r="H23" s="2">
        <v>39.25</v>
      </c>
      <c r="J23" s="4" t="s">
        <v>67</v>
      </c>
      <c r="K23" s="2">
        <v>6.666666666666667</v>
      </c>
    </row>
    <row r="24" spans="4:11" x14ac:dyDescent="0.35">
      <c r="D24" s="4" t="s">
        <v>68</v>
      </c>
      <c r="E24" s="13">
        <v>20</v>
      </c>
      <c r="G24" s="4" t="s">
        <v>68</v>
      </c>
      <c r="H24" s="2">
        <v>33.549999999999997</v>
      </c>
      <c r="J24" s="4" t="s">
        <v>68</v>
      </c>
      <c r="K24" s="2">
        <v>5.4444444444444446</v>
      </c>
    </row>
    <row r="25" spans="4:11" x14ac:dyDescent="0.35">
      <c r="D25" s="4" t="s">
        <v>69</v>
      </c>
      <c r="E25" s="13">
        <v>17</v>
      </c>
      <c r="G25" s="4" t="s">
        <v>69</v>
      </c>
      <c r="H25" s="2">
        <v>31.117647058823529</v>
      </c>
      <c r="J25" s="4" t="s">
        <v>69</v>
      </c>
      <c r="K25" s="2">
        <v>4.4000000000000004</v>
      </c>
    </row>
    <row r="26" spans="4:11" x14ac:dyDescent="0.35">
      <c r="D26" s="4" t="s">
        <v>70</v>
      </c>
      <c r="E26" s="13">
        <v>19</v>
      </c>
      <c r="G26" s="4" t="s">
        <v>70</v>
      </c>
      <c r="H26" s="2">
        <v>36.94736842105263</v>
      </c>
      <c r="J26" s="4" t="s">
        <v>70</v>
      </c>
      <c r="K26" s="2">
        <v>4.8</v>
      </c>
    </row>
    <row r="27" spans="4:11" x14ac:dyDescent="0.35">
      <c r="D27" s="4" t="s">
        <v>71</v>
      </c>
      <c r="E27" s="13">
        <v>17</v>
      </c>
      <c r="G27" s="4" t="s">
        <v>71</v>
      </c>
      <c r="H27" s="2">
        <v>43</v>
      </c>
      <c r="J27" s="4" t="s">
        <v>71</v>
      </c>
      <c r="K27" s="2">
        <v>4</v>
      </c>
    </row>
    <row r="28" spans="4:11" x14ac:dyDescent="0.35">
      <c r="D28" s="4" t="s">
        <v>72</v>
      </c>
      <c r="E28" s="13">
        <v>18</v>
      </c>
      <c r="G28" s="4" t="s">
        <v>72</v>
      </c>
      <c r="H28" s="2">
        <v>33.055555555555557</v>
      </c>
      <c r="J28" s="4" t="s">
        <v>72</v>
      </c>
      <c r="K28" s="2">
        <v>8.25</v>
      </c>
    </row>
    <row r="29" spans="4:11" x14ac:dyDescent="0.35">
      <c r="D29" s="4" t="s">
        <v>73</v>
      </c>
      <c r="E29" s="13">
        <v>18</v>
      </c>
      <c r="G29" s="4" t="s">
        <v>73</v>
      </c>
      <c r="H29" s="2">
        <v>32.888888888888886</v>
      </c>
      <c r="J29" s="4" t="s">
        <v>73</v>
      </c>
      <c r="K29" s="2">
        <v>4.5</v>
      </c>
    </row>
    <row r="30" spans="4:11" x14ac:dyDescent="0.35">
      <c r="D30" s="4" t="s">
        <v>74</v>
      </c>
      <c r="E30" s="13">
        <v>15</v>
      </c>
      <c r="G30" s="4" t="s">
        <v>74</v>
      </c>
      <c r="H30" s="2">
        <v>26.6</v>
      </c>
      <c r="J30" s="4" t="s">
        <v>74</v>
      </c>
      <c r="K30" s="2">
        <v>3.5</v>
      </c>
    </row>
    <row r="31" spans="4:11" x14ac:dyDescent="0.35">
      <c r="D31" s="4" t="s">
        <v>75</v>
      </c>
      <c r="E31" s="13">
        <v>10</v>
      </c>
      <c r="G31" s="4" t="s">
        <v>75</v>
      </c>
      <c r="H31" s="2">
        <v>28.2</v>
      </c>
      <c r="J31" s="4" t="s">
        <v>75</v>
      </c>
      <c r="K31" s="2">
        <v>7</v>
      </c>
    </row>
    <row r="32" spans="4:11" x14ac:dyDescent="0.35">
      <c r="D32" s="4" t="s">
        <v>76</v>
      </c>
      <c r="E32" s="13">
        <v>14</v>
      </c>
      <c r="G32" s="4" t="s">
        <v>76</v>
      </c>
      <c r="H32" s="2">
        <v>37.642857142857146</v>
      </c>
      <c r="J32" s="4" t="s">
        <v>76</v>
      </c>
      <c r="K32" s="2">
        <v>4.5</v>
      </c>
    </row>
    <row r="33" spans="1:11" x14ac:dyDescent="0.35">
      <c r="D33" s="4" t="s">
        <v>77</v>
      </c>
      <c r="E33" s="13">
        <v>9</v>
      </c>
      <c r="G33" s="4" t="s">
        <v>77</v>
      </c>
      <c r="H33" s="2">
        <v>40.333333333333336</v>
      </c>
      <c r="J33" s="4" t="s">
        <v>77</v>
      </c>
      <c r="K33" s="2">
        <v>4.666666666666667</v>
      </c>
    </row>
    <row r="34" spans="1:11" x14ac:dyDescent="0.35">
      <c r="D34" s="4" t="s">
        <v>78</v>
      </c>
      <c r="E34" s="13">
        <v>15</v>
      </c>
      <c r="G34" s="4" t="s">
        <v>78</v>
      </c>
      <c r="H34" s="2">
        <v>35.93333333333333</v>
      </c>
      <c r="J34" s="4" t="s">
        <v>78</v>
      </c>
      <c r="K34" s="2">
        <v>5.8</v>
      </c>
    </row>
    <row r="35" spans="1:11" x14ac:dyDescent="0.35">
      <c r="D35" s="4" t="s">
        <v>4</v>
      </c>
      <c r="E35" s="13">
        <v>471</v>
      </c>
      <c r="G35" s="4" t="s">
        <v>4</v>
      </c>
      <c r="H35" s="2">
        <v>34.050955414012741</v>
      </c>
      <c r="J35" s="4" t="s">
        <v>4</v>
      </c>
      <c r="K35" s="2">
        <v>5.3120000000000003</v>
      </c>
    </row>
    <row r="38" spans="1:11" x14ac:dyDescent="0.35">
      <c r="A38" s="1" t="s">
        <v>5</v>
      </c>
      <c r="B38" t="s">
        <v>16</v>
      </c>
      <c r="C38" t="s">
        <v>17</v>
      </c>
    </row>
    <row r="39" spans="1:11" x14ac:dyDescent="0.35">
      <c r="A39" s="4" t="s">
        <v>14</v>
      </c>
      <c r="B39" s="8">
        <v>247</v>
      </c>
      <c r="C39" s="9">
        <v>0.52441613588110403</v>
      </c>
    </row>
    <row r="40" spans="1:11" x14ac:dyDescent="0.35">
      <c r="A40" s="4" t="s">
        <v>15</v>
      </c>
      <c r="B40" s="8">
        <v>224</v>
      </c>
      <c r="C40" s="9">
        <v>0.47558386411889597</v>
      </c>
    </row>
    <row r="41" spans="1:11" x14ac:dyDescent="0.35">
      <c r="A41" s="4" t="s">
        <v>4</v>
      </c>
      <c r="B41" s="8">
        <v>471</v>
      </c>
      <c r="C41" s="9">
        <v>1</v>
      </c>
    </row>
    <row r="46" spans="1:11" x14ac:dyDescent="0.35">
      <c r="A46" s="10" t="s">
        <v>18</v>
      </c>
      <c r="B46" s="10" t="s">
        <v>19</v>
      </c>
      <c r="C46" s="10" t="s">
        <v>20</v>
      </c>
      <c r="D46" s="10" t="s">
        <v>21</v>
      </c>
    </row>
    <row r="47" spans="1:11" x14ac:dyDescent="0.35">
      <c r="A47" s="11" t="str">
        <f>A40</f>
        <v>Not Admitted</v>
      </c>
      <c r="B47" s="11">
        <f>B40</f>
        <v>224</v>
      </c>
      <c r="C47" s="12">
        <f>C40</f>
        <v>0.47558386411889597</v>
      </c>
      <c r="D47" s="11"/>
    </row>
    <row r="48" spans="1:11" x14ac:dyDescent="0.35">
      <c r="A48" s="11" t="str">
        <f>A39</f>
        <v>Admitted</v>
      </c>
      <c r="B48" s="11">
        <f>B39</f>
        <v>247</v>
      </c>
      <c r="C48" s="12">
        <f>C39</f>
        <v>0.52441613588110403</v>
      </c>
      <c r="D48" s="11"/>
    </row>
    <row r="51" spans="1:2" x14ac:dyDescent="0.35">
      <c r="A51" t="s">
        <v>31</v>
      </c>
    </row>
    <row r="52" spans="1:2" x14ac:dyDescent="0.35">
      <c r="A52" s="1" t="s">
        <v>5</v>
      </c>
      <c r="B52" t="s">
        <v>30</v>
      </c>
    </row>
    <row r="53" spans="1:2" x14ac:dyDescent="0.35">
      <c r="A53" s="4" t="s">
        <v>22</v>
      </c>
      <c r="B53" s="8">
        <v>77</v>
      </c>
    </row>
    <row r="54" spans="1:2" x14ac:dyDescent="0.35">
      <c r="A54" s="4" t="s">
        <v>23</v>
      </c>
      <c r="B54" s="8">
        <v>50</v>
      </c>
    </row>
    <row r="55" spans="1:2" x14ac:dyDescent="0.35">
      <c r="A55" s="4" t="s">
        <v>24</v>
      </c>
      <c r="B55" s="8">
        <v>67</v>
      </c>
    </row>
    <row r="56" spans="1:2" x14ac:dyDescent="0.35">
      <c r="A56" s="4" t="s">
        <v>25</v>
      </c>
      <c r="B56" s="8">
        <v>53</v>
      </c>
    </row>
    <row r="57" spans="1:2" x14ac:dyDescent="0.35">
      <c r="A57" s="4" t="s">
        <v>26</v>
      </c>
      <c r="B57" s="8">
        <v>59</v>
      </c>
    </row>
    <row r="58" spans="1:2" x14ac:dyDescent="0.35">
      <c r="A58" s="4" t="s">
        <v>27</v>
      </c>
      <c r="B58" s="8">
        <v>59</v>
      </c>
    </row>
    <row r="59" spans="1:2" x14ac:dyDescent="0.35">
      <c r="A59" s="4" t="s">
        <v>28</v>
      </c>
      <c r="B59" s="8">
        <v>48</v>
      </c>
    </row>
    <row r="60" spans="1:2" x14ac:dyDescent="0.35">
      <c r="A60" s="4" t="s">
        <v>29</v>
      </c>
      <c r="B60" s="8">
        <v>58</v>
      </c>
    </row>
    <row r="61" spans="1:2" x14ac:dyDescent="0.35">
      <c r="A61" s="4" t="s">
        <v>4</v>
      </c>
      <c r="B61" s="8">
        <v>471</v>
      </c>
    </row>
    <row r="65" spans="1:2" x14ac:dyDescent="0.35">
      <c r="A65" t="s">
        <v>33</v>
      </c>
    </row>
    <row r="66" spans="1:2" x14ac:dyDescent="0.35">
      <c r="A66" s="1" t="s">
        <v>5</v>
      </c>
      <c r="B66" t="s">
        <v>32</v>
      </c>
    </row>
    <row r="67" spans="1:2" x14ac:dyDescent="0.35">
      <c r="A67" s="4" t="s">
        <v>12</v>
      </c>
      <c r="B67" s="8">
        <v>262</v>
      </c>
    </row>
    <row r="68" spans="1:2" x14ac:dyDescent="0.35">
      <c r="A68" s="4" t="s">
        <v>13</v>
      </c>
      <c r="B68" s="8">
        <v>209</v>
      </c>
    </row>
    <row r="69" spans="1:2" x14ac:dyDescent="0.35">
      <c r="A69" s="4" t="s">
        <v>4</v>
      </c>
      <c r="B69" s="8">
        <v>471</v>
      </c>
    </row>
    <row r="71" spans="1:2" x14ac:dyDescent="0.35">
      <c r="A71" s="4" t="s">
        <v>37</v>
      </c>
    </row>
    <row r="72" spans="1:2" x14ac:dyDescent="0.35">
      <c r="A72" s="1" t="s">
        <v>5</v>
      </c>
      <c r="B72" t="s">
        <v>36</v>
      </c>
    </row>
    <row r="73" spans="1:2" x14ac:dyDescent="0.35">
      <c r="A73" s="4" t="s">
        <v>34</v>
      </c>
      <c r="B73" s="8">
        <v>227</v>
      </c>
    </row>
    <row r="74" spans="1:2" x14ac:dyDescent="0.35">
      <c r="A74" s="4" t="s">
        <v>35</v>
      </c>
      <c r="B74" s="8">
        <v>244</v>
      </c>
    </row>
    <row r="75" spans="1:2" x14ac:dyDescent="0.35">
      <c r="A75" s="4" t="s">
        <v>4</v>
      </c>
      <c r="B75" s="8">
        <v>471</v>
      </c>
    </row>
    <row r="78" spans="1:2" x14ac:dyDescent="0.35">
      <c r="A78" s="1" t="s">
        <v>5</v>
      </c>
      <c r="B78" t="s">
        <v>46</v>
      </c>
    </row>
    <row r="79" spans="1:2" x14ac:dyDescent="0.35">
      <c r="A79" s="4" t="s">
        <v>45</v>
      </c>
      <c r="B79" s="8">
        <v>1</v>
      </c>
    </row>
    <row r="80" spans="1:2" x14ac:dyDescent="0.35">
      <c r="A80" s="4" t="s">
        <v>39</v>
      </c>
      <c r="B80" s="8">
        <v>9</v>
      </c>
    </row>
    <row r="81" spans="1:2" x14ac:dyDescent="0.35">
      <c r="A81" s="4" t="s">
        <v>38</v>
      </c>
      <c r="B81" s="8">
        <v>13</v>
      </c>
    </row>
    <row r="82" spans="1:2" x14ac:dyDescent="0.35">
      <c r="A82" s="4" t="s">
        <v>41</v>
      </c>
      <c r="B82" s="8">
        <v>15</v>
      </c>
    </row>
    <row r="83" spans="1:2" x14ac:dyDescent="0.35">
      <c r="A83" s="4" t="s">
        <v>44</v>
      </c>
      <c r="B83" s="8">
        <v>17</v>
      </c>
    </row>
    <row r="84" spans="1:2" x14ac:dyDescent="0.35">
      <c r="A84" s="4" t="s">
        <v>43</v>
      </c>
      <c r="B84" s="8">
        <v>54</v>
      </c>
    </row>
    <row r="85" spans="1:2" x14ac:dyDescent="0.35">
      <c r="A85" s="4" t="s">
        <v>40</v>
      </c>
      <c r="B85" s="8">
        <v>96</v>
      </c>
    </row>
    <row r="86" spans="1:2" x14ac:dyDescent="0.35">
      <c r="A86" s="4" t="s">
        <v>42</v>
      </c>
      <c r="B86" s="8">
        <v>266</v>
      </c>
    </row>
    <row r="87" spans="1:2" x14ac:dyDescent="0.35">
      <c r="A87" s="4" t="s">
        <v>4</v>
      </c>
      <c r="B87" s="8">
        <v>471</v>
      </c>
    </row>
    <row r="90" spans="1:2" x14ac:dyDescent="0.35">
      <c r="A90" s="1" t="s">
        <v>47</v>
      </c>
    </row>
    <row r="91" spans="1:2" x14ac:dyDescent="0.35">
      <c r="A91" t="s">
        <v>48</v>
      </c>
      <c r="B91" t="s">
        <v>4</v>
      </c>
    </row>
  </sheetData>
  <customSheetViews>
    <customSheetView guid="{43D69128-5FBF-4F1E-B7E6-C81745E8C0E4}" topLeftCell="C36">
      <selection activeCell="B93" sqref="B93"/>
      <pageMargins left="0.7" right="0.7" top="0.75" bottom="0.75" header="0.3" footer="0.3"/>
    </customSheetView>
  </customSheetView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33DA-7E83-41E7-94D5-6C231A7E50D8}">
  <dimension ref="A1:T47"/>
  <sheetViews>
    <sheetView showGridLines="0" tabSelected="1" zoomScale="80" zoomScaleNormal="80" workbookViewId="0">
      <selection activeCell="E23" sqref="E23"/>
    </sheetView>
  </sheetViews>
  <sheetFormatPr defaultRowHeight="14.5" x14ac:dyDescent="0.35"/>
  <sheetData>
    <row r="1" spans="1:20" x14ac:dyDescent="0.35">
      <c r="A1" s="3"/>
      <c r="B1" s="3"/>
      <c r="C1" s="3"/>
      <c r="D1" s="3"/>
      <c r="E1" s="3"/>
      <c r="F1" s="3"/>
      <c r="G1" s="3"/>
      <c r="H1" s="3"/>
      <c r="I1" s="3"/>
      <c r="J1" s="3"/>
      <c r="K1" s="3"/>
      <c r="L1" s="3"/>
      <c r="M1" s="3"/>
      <c r="N1" s="3"/>
      <c r="O1" s="3"/>
      <c r="P1" s="3"/>
      <c r="Q1" s="3"/>
      <c r="R1" s="3"/>
      <c r="S1" s="3"/>
      <c r="T1" s="3"/>
    </row>
    <row r="2" spans="1:20" x14ac:dyDescent="0.35">
      <c r="A2" s="3"/>
      <c r="B2" s="3"/>
      <c r="C2" s="3"/>
      <c r="D2" s="3"/>
      <c r="E2" s="3"/>
      <c r="F2" s="3"/>
      <c r="G2" s="3"/>
      <c r="H2" s="3"/>
      <c r="I2" s="3"/>
      <c r="J2" s="3"/>
      <c r="K2" s="3"/>
      <c r="L2" s="3"/>
      <c r="M2" s="3"/>
      <c r="N2" s="3"/>
      <c r="O2" s="3"/>
      <c r="P2" s="3"/>
      <c r="Q2" s="3"/>
      <c r="R2" s="3"/>
      <c r="S2" s="3"/>
      <c r="T2" s="3"/>
    </row>
    <row r="3" spans="1:20" x14ac:dyDescent="0.35">
      <c r="A3" s="3"/>
      <c r="B3" s="3"/>
      <c r="C3" s="3"/>
      <c r="D3" s="3"/>
      <c r="E3" s="3"/>
      <c r="F3" s="3"/>
      <c r="G3" s="3"/>
      <c r="H3" s="3"/>
      <c r="I3" s="3"/>
      <c r="J3" s="3"/>
      <c r="K3" s="3"/>
      <c r="L3" s="3"/>
      <c r="M3" s="3"/>
      <c r="N3" s="3"/>
      <c r="O3" s="3"/>
      <c r="P3" s="3"/>
      <c r="Q3" s="3"/>
      <c r="R3" s="3"/>
      <c r="S3" s="3"/>
      <c r="T3" s="3"/>
    </row>
    <row r="4" spans="1:20" x14ac:dyDescent="0.35">
      <c r="A4" s="3"/>
      <c r="B4" s="3"/>
      <c r="C4" s="3"/>
      <c r="D4" s="3"/>
      <c r="E4" s="3"/>
      <c r="F4" s="3"/>
      <c r="G4" s="3"/>
      <c r="H4" s="3"/>
      <c r="I4" s="3"/>
      <c r="J4" s="3"/>
      <c r="K4" s="3"/>
      <c r="L4" s="3"/>
      <c r="M4" s="3"/>
      <c r="N4" s="3"/>
      <c r="O4" s="3"/>
      <c r="P4" s="3"/>
      <c r="Q4" s="3"/>
      <c r="R4" s="3"/>
      <c r="S4" s="3"/>
      <c r="T4" s="3"/>
    </row>
    <row r="5" spans="1:20" x14ac:dyDescent="0.35">
      <c r="A5" s="3"/>
      <c r="B5" s="3"/>
      <c r="C5" s="3"/>
      <c r="D5" s="3"/>
      <c r="E5" s="3"/>
      <c r="F5" s="3"/>
      <c r="G5" s="3"/>
      <c r="H5" s="3"/>
      <c r="I5" s="3"/>
      <c r="J5" s="3"/>
      <c r="K5" s="3"/>
      <c r="L5" s="3"/>
      <c r="M5" s="3"/>
      <c r="N5" s="3"/>
      <c r="O5" s="3"/>
      <c r="P5" s="3"/>
      <c r="Q5" s="3"/>
      <c r="R5" s="3"/>
      <c r="S5" s="3"/>
      <c r="T5" s="3"/>
    </row>
    <row r="6" spans="1:20" x14ac:dyDescent="0.35">
      <c r="A6" s="3"/>
      <c r="B6" s="3"/>
      <c r="C6" s="3"/>
      <c r="D6" s="3"/>
      <c r="E6" s="3"/>
      <c r="F6" s="3"/>
      <c r="G6" s="3"/>
      <c r="H6" s="3"/>
      <c r="I6" s="3"/>
      <c r="J6" s="3"/>
      <c r="K6" s="3"/>
      <c r="L6" s="3"/>
      <c r="M6" s="3"/>
      <c r="N6" s="3"/>
      <c r="O6" s="3"/>
      <c r="P6" s="3"/>
      <c r="Q6" s="3"/>
      <c r="R6" s="3"/>
      <c r="S6" s="3"/>
      <c r="T6" s="3"/>
    </row>
    <row r="7" spans="1:20" x14ac:dyDescent="0.35">
      <c r="A7" s="3"/>
      <c r="B7" s="3"/>
      <c r="C7" s="3"/>
      <c r="D7" s="3"/>
      <c r="E7" s="3"/>
      <c r="F7" s="3"/>
      <c r="G7" s="3"/>
      <c r="H7" s="3"/>
      <c r="I7" s="3"/>
      <c r="J7" s="3"/>
      <c r="K7" s="3"/>
      <c r="L7" s="3"/>
      <c r="M7" s="3"/>
      <c r="N7" s="3"/>
      <c r="O7" s="3"/>
      <c r="P7" s="3"/>
      <c r="Q7" s="3"/>
      <c r="R7" s="3"/>
      <c r="S7" s="3"/>
      <c r="T7" s="3"/>
    </row>
    <row r="8" spans="1:20" x14ac:dyDescent="0.35">
      <c r="A8" s="3"/>
      <c r="B8" s="3"/>
      <c r="C8" s="3"/>
      <c r="D8" s="3"/>
      <c r="E8" s="3"/>
      <c r="F8" s="3"/>
      <c r="G8" s="3"/>
      <c r="H8" s="3"/>
      <c r="I8" s="3"/>
      <c r="J8" s="3"/>
      <c r="K8" s="3"/>
      <c r="L8" s="3"/>
      <c r="M8" s="3"/>
      <c r="N8" s="3"/>
      <c r="O8" s="3"/>
      <c r="P8" s="3"/>
      <c r="Q8" s="3"/>
      <c r="R8" s="3"/>
      <c r="S8" s="3"/>
      <c r="T8" s="3"/>
    </row>
    <row r="9" spans="1:20" x14ac:dyDescent="0.35">
      <c r="A9" s="3"/>
      <c r="B9" s="3"/>
      <c r="C9" s="3"/>
      <c r="D9" s="3"/>
      <c r="E9" s="3"/>
      <c r="F9" s="3"/>
      <c r="G9" s="3"/>
      <c r="H9" s="3"/>
      <c r="I9" s="3"/>
      <c r="J9" s="3"/>
      <c r="K9" s="3"/>
      <c r="L9" s="3"/>
      <c r="M9" s="3"/>
      <c r="N9" s="3"/>
      <c r="O9" s="3"/>
      <c r="P9" s="3"/>
      <c r="Q9" s="3"/>
      <c r="R9" s="3"/>
      <c r="S9" s="3"/>
      <c r="T9" s="3"/>
    </row>
    <row r="10" spans="1:20" x14ac:dyDescent="0.35">
      <c r="A10" s="3"/>
      <c r="B10" s="3"/>
      <c r="C10" s="3"/>
      <c r="D10" s="3"/>
      <c r="E10" s="3"/>
      <c r="F10" s="3"/>
      <c r="G10" s="3"/>
      <c r="H10" s="3"/>
      <c r="I10" s="3"/>
      <c r="J10" s="3"/>
      <c r="K10" s="3"/>
      <c r="L10" s="3"/>
      <c r="M10" s="3"/>
      <c r="N10" s="3"/>
      <c r="O10" s="3"/>
      <c r="P10" s="3"/>
      <c r="Q10" s="3"/>
      <c r="R10" s="3"/>
      <c r="S10" s="3"/>
      <c r="T10" s="3"/>
    </row>
    <row r="11" spans="1:20" x14ac:dyDescent="0.35">
      <c r="A11" s="3"/>
      <c r="B11" s="3"/>
      <c r="C11" s="3"/>
      <c r="D11" s="3"/>
      <c r="E11" s="3"/>
      <c r="F11" s="3"/>
      <c r="G11" s="3"/>
      <c r="H11" s="3"/>
      <c r="I11" s="3"/>
      <c r="J11" s="3"/>
      <c r="K11" s="3"/>
      <c r="L11" s="3"/>
      <c r="M11" s="3"/>
      <c r="N11" s="3"/>
      <c r="O11" s="3"/>
      <c r="P11" s="3"/>
      <c r="Q11" s="3"/>
      <c r="R11" s="3"/>
      <c r="S11" s="3"/>
      <c r="T11" s="3"/>
    </row>
    <row r="12" spans="1:20" x14ac:dyDescent="0.35">
      <c r="A12" s="3"/>
      <c r="B12" s="3"/>
      <c r="C12" s="3"/>
      <c r="D12" s="3"/>
      <c r="E12" s="3"/>
      <c r="F12" s="3"/>
      <c r="G12" s="3"/>
      <c r="H12" s="3"/>
      <c r="I12" s="3"/>
      <c r="J12" s="3"/>
      <c r="K12" s="3"/>
      <c r="L12" s="3"/>
      <c r="M12" s="3"/>
      <c r="N12" s="3"/>
      <c r="O12" s="3"/>
      <c r="P12" s="3"/>
      <c r="Q12" s="3"/>
      <c r="R12" s="3"/>
      <c r="S12" s="3"/>
      <c r="T12" s="3"/>
    </row>
    <row r="13" spans="1:20" x14ac:dyDescent="0.35">
      <c r="A13" s="3"/>
      <c r="B13" s="3"/>
      <c r="C13" s="3"/>
      <c r="D13" s="3"/>
      <c r="E13" s="3"/>
      <c r="F13" s="3"/>
      <c r="G13" s="3"/>
      <c r="H13" s="3"/>
      <c r="I13" s="3"/>
      <c r="J13" s="3"/>
      <c r="K13" s="3"/>
      <c r="L13" s="3"/>
      <c r="M13" s="3"/>
      <c r="N13" s="3"/>
      <c r="O13" s="3"/>
      <c r="P13" s="3"/>
      <c r="Q13" s="3"/>
      <c r="R13" s="3"/>
      <c r="S13" s="3"/>
      <c r="T13" s="3"/>
    </row>
    <row r="14" spans="1:20" x14ac:dyDescent="0.35">
      <c r="A14" s="3"/>
      <c r="B14" s="3"/>
      <c r="C14" s="3"/>
      <c r="D14" s="3"/>
      <c r="E14" s="3"/>
      <c r="F14" s="3"/>
      <c r="G14" s="3"/>
      <c r="H14" s="3"/>
      <c r="I14" s="3"/>
      <c r="J14" s="3"/>
      <c r="K14" s="3"/>
      <c r="L14" s="3"/>
      <c r="M14" s="3"/>
      <c r="N14" s="3"/>
      <c r="O14" s="3"/>
      <c r="P14" s="3"/>
      <c r="Q14" s="3"/>
      <c r="R14" s="3"/>
      <c r="S14" s="3"/>
      <c r="T14" s="3"/>
    </row>
    <row r="15" spans="1:20" x14ac:dyDescent="0.35">
      <c r="A15" s="3"/>
      <c r="B15" s="3"/>
      <c r="C15" s="3"/>
      <c r="D15" s="3"/>
      <c r="E15" s="3"/>
      <c r="F15" s="3"/>
      <c r="G15" s="3"/>
      <c r="H15" s="3"/>
      <c r="I15" s="3"/>
      <c r="J15" s="3"/>
      <c r="K15" s="3"/>
      <c r="L15" s="3"/>
      <c r="M15" s="3"/>
      <c r="N15" s="3"/>
      <c r="O15" s="3"/>
      <c r="P15" s="3"/>
      <c r="Q15" s="3"/>
      <c r="R15" s="3"/>
      <c r="S15" s="3"/>
      <c r="T15" s="3"/>
    </row>
    <row r="16" spans="1:20" x14ac:dyDescent="0.35">
      <c r="A16" s="3"/>
      <c r="B16" s="3"/>
      <c r="C16" s="3"/>
      <c r="D16" s="3"/>
      <c r="E16" s="3"/>
      <c r="F16" s="3"/>
      <c r="G16" s="3"/>
      <c r="H16" s="3"/>
      <c r="I16" s="3"/>
      <c r="J16" s="3"/>
      <c r="K16" s="3"/>
      <c r="L16" s="3"/>
      <c r="M16" s="3"/>
      <c r="N16" s="3"/>
      <c r="O16" s="3"/>
      <c r="P16" s="3"/>
      <c r="Q16" s="3"/>
      <c r="R16" s="3"/>
      <c r="S16" s="3"/>
      <c r="T16" s="3"/>
    </row>
    <row r="17" spans="1:20" x14ac:dyDescent="0.35">
      <c r="A17" s="3"/>
      <c r="B17" s="3"/>
      <c r="C17" s="3"/>
      <c r="D17" s="3"/>
      <c r="E17" s="3"/>
      <c r="F17" s="3"/>
      <c r="G17" s="3"/>
      <c r="H17" s="3"/>
      <c r="I17" s="3"/>
      <c r="J17" s="3"/>
      <c r="K17" s="3"/>
      <c r="L17" s="3"/>
      <c r="M17" s="3"/>
      <c r="N17" s="3"/>
      <c r="O17" s="3"/>
      <c r="P17" s="3"/>
      <c r="Q17" s="3"/>
      <c r="R17" s="3"/>
      <c r="S17" s="3"/>
      <c r="T17" s="3"/>
    </row>
    <row r="18" spans="1:20" x14ac:dyDescent="0.35">
      <c r="A18" s="3"/>
      <c r="B18" s="3"/>
      <c r="C18" s="3"/>
      <c r="D18" s="3"/>
      <c r="E18" s="3"/>
      <c r="F18" s="3"/>
      <c r="G18" s="3"/>
      <c r="H18" s="3"/>
      <c r="I18" s="3"/>
      <c r="J18" s="3"/>
      <c r="K18" s="3"/>
      <c r="L18" s="3"/>
      <c r="M18" s="3"/>
      <c r="N18" s="3"/>
      <c r="O18" s="3"/>
      <c r="P18" s="3"/>
      <c r="Q18" s="3"/>
      <c r="R18" s="3"/>
      <c r="S18" s="3"/>
      <c r="T18" s="3"/>
    </row>
    <row r="19" spans="1:20" x14ac:dyDescent="0.35">
      <c r="A19" s="3"/>
      <c r="B19" s="3"/>
      <c r="C19" s="3"/>
      <c r="D19" s="3"/>
      <c r="E19" s="3"/>
      <c r="F19" s="3"/>
      <c r="G19" s="3"/>
      <c r="H19" s="3"/>
      <c r="I19" s="3"/>
      <c r="J19" s="3"/>
      <c r="K19" s="3"/>
      <c r="L19" s="3"/>
      <c r="M19" s="3"/>
      <c r="N19" s="3"/>
      <c r="O19" s="3"/>
      <c r="P19" s="3"/>
      <c r="Q19" s="3"/>
      <c r="R19" s="3"/>
      <c r="S19" s="3"/>
      <c r="T19" s="3"/>
    </row>
    <row r="20" spans="1:20" s="14" customFormat="1" x14ac:dyDescent="0.35"/>
    <row r="21" spans="1:20" s="14" customFormat="1" x14ac:dyDescent="0.35"/>
    <row r="22" spans="1:20" s="14" customFormat="1" x14ac:dyDescent="0.35"/>
    <row r="23" spans="1:20" s="14" customFormat="1" x14ac:dyDescent="0.35"/>
    <row r="24" spans="1:20" s="14" customFormat="1" x14ac:dyDescent="0.35"/>
    <row r="25" spans="1:20" s="14" customFormat="1" x14ac:dyDescent="0.35"/>
    <row r="26" spans="1:20" s="14" customFormat="1" x14ac:dyDescent="0.35"/>
    <row r="27" spans="1:20" s="14" customFormat="1" x14ac:dyDescent="0.35"/>
    <row r="28" spans="1:20" s="14" customFormat="1" x14ac:dyDescent="0.35"/>
    <row r="29" spans="1:20" s="14" customFormat="1" x14ac:dyDescent="0.35"/>
    <row r="30" spans="1:20" s="14" customFormat="1" x14ac:dyDescent="0.35"/>
    <row r="31" spans="1:20" s="14" customFormat="1" x14ac:dyDescent="0.35"/>
    <row r="32" spans="1:20" s="14" customFormat="1" x14ac:dyDescent="0.35"/>
    <row r="33" spans="1:20" s="14" customFormat="1" x14ac:dyDescent="0.35"/>
    <row r="34" spans="1:20" s="14" customFormat="1" x14ac:dyDescent="0.35"/>
    <row r="35" spans="1:20" s="14" customFormat="1" x14ac:dyDescent="0.35"/>
    <row r="36" spans="1:20" s="14" customFormat="1" x14ac:dyDescent="0.35"/>
    <row r="37" spans="1:20" s="14" customFormat="1" x14ac:dyDescent="0.35"/>
    <row r="38" spans="1:20" s="14" customFormat="1" x14ac:dyDescent="0.35"/>
    <row r="39" spans="1:20" s="14" customFormat="1" x14ac:dyDescent="0.35"/>
    <row r="40" spans="1:20" s="14" customFormat="1" x14ac:dyDescent="0.35"/>
    <row r="41" spans="1:20" s="14" customFormat="1" x14ac:dyDescent="0.35"/>
    <row r="42" spans="1:20" s="14" customFormat="1" x14ac:dyDescent="0.35"/>
    <row r="43" spans="1:20" s="14" customFormat="1" x14ac:dyDescent="0.35"/>
    <row r="44" spans="1:20" s="14" customFormat="1" x14ac:dyDescent="0.35"/>
    <row r="45" spans="1:20" s="14" customFormat="1" x14ac:dyDescent="0.35"/>
    <row r="46" spans="1:20" s="14" customFormat="1" x14ac:dyDescent="0.35"/>
    <row r="47" spans="1:20" s="14" customFormat="1" x14ac:dyDescent="0.35">
      <c r="A47" s="14">
        <v>1</v>
      </c>
      <c r="T47" s="14">
        <v>1</v>
      </c>
    </row>
  </sheetData>
  <customSheetViews>
    <customSheetView guid="{43D69128-5FBF-4F1E-B7E6-C81745E8C0E4}" scale="80" showGridLines="0">
      <selection activeCell="J20" sqref="J20"/>
      <pageMargins left="0.7" right="0.7" top="0.75" bottom="0.75" header="0.3" footer="0.3"/>
    </customSheetView>
  </customSheetView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300C-E2E4-4827-8640-E0B2D27B3695}">
  <dimension ref="A1:M22"/>
  <sheetViews>
    <sheetView showGridLines="0" zoomScale="120" zoomScaleNormal="120" workbookViewId="0"/>
  </sheetViews>
  <sheetFormatPr defaultRowHeight="14.5" x14ac:dyDescent="0.35"/>
  <cols>
    <col min="11" max="11" width="13.08984375" customWidth="1"/>
  </cols>
  <sheetData>
    <row r="1" spans="1:13" x14ac:dyDescent="0.35">
      <c r="A1" s="5"/>
      <c r="B1" s="5"/>
      <c r="C1" s="5"/>
      <c r="D1" s="5"/>
      <c r="E1" s="5"/>
      <c r="F1" s="5"/>
      <c r="G1" s="5"/>
      <c r="H1" s="5"/>
      <c r="I1" s="5"/>
      <c r="J1" s="5"/>
      <c r="K1" s="5"/>
      <c r="L1" s="5"/>
      <c r="M1" s="5"/>
    </row>
    <row r="2" spans="1:13" x14ac:dyDescent="0.35">
      <c r="A2" s="5"/>
      <c r="B2" s="5"/>
      <c r="C2" s="5"/>
      <c r="D2" s="5"/>
      <c r="E2" s="5"/>
      <c r="F2" s="5"/>
      <c r="G2" s="5"/>
      <c r="H2" s="5"/>
      <c r="I2" s="5"/>
      <c r="J2" s="5"/>
      <c r="K2" s="5"/>
      <c r="L2" s="5"/>
      <c r="M2" s="5"/>
    </row>
    <row r="3" spans="1:13" x14ac:dyDescent="0.35">
      <c r="A3" s="5"/>
      <c r="B3" s="5"/>
      <c r="C3" s="5"/>
      <c r="D3" s="5"/>
      <c r="E3" s="5"/>
      <c r="F3" s="5"/>
      <c r="G3" s="5"/>
      <c r="H3" s="5"/>
      <c r="I3" s="5"/>
      <c r="J3" s="5"/>
      <c r="K3" s="5"/>
      <c r="L3" s="5"/>
      <c r="M3" s="5"/>
    </row>
    <row r="4" spans="1:13" x14ac:dyDescent="0.35">
      <c r="A4" s="5"/>
      <c r="B4" s="5"/>
      <c r="C4" s="5"/>
      <c r="D4" s="5"/>
      <c r="E4" s="5"/>
      <c r="F4" s="5"/>
      <c r="G4" s="5"/>
      <c r="H4" s="5"/>
      <c r="I4" s="5"/>
      <c r="J4" s="5"/>
      <c r="K4" s="5"/>
      <c r="L4" s="5"/>
      <c r="M4" s="5"/>
    </row>
    <row r="5" spans="1:13" x14ac:dyDescent="0.35">
      <c r="A5" s="5"/>
      <c r="B5" s="5"/>
      <c r="C5" s="5"/>
      <c r="D5" s="5"/>
      <c r="E5" s="5"/>
      <c r="F5" s="5"/>
      <c r="G5" s="5"/>
      <c r="H5" s="5"/>
      <c r="I5" s="5"/>
      <c r="J5" s="5"/>
      <c r="K5" s="5"/>
      <c r="L5" s="5"/>
      <c r="M5" s="5"/>
    </row>
    <row r="6" spans="1:13" x14ac:dyDescent="0.35">
      <c r="A6" s="5"/>
      <c r="B6" s="5"/>
      <c r="C6" s="5"/>
      <c r="D6" s="5"/>
      <c r="E6" s="5"/>
      <c r="F6" s="5"/>
      <c r="G6" s="5"/>
      <c r="H6" s="5"/>
      <c r="I6" s="5"/>
      <c r="J6" s="5"/>
      <c r="K6" s="5"/>
      <c r="L6" s="5"/>
      <c r="M6" s="5"/>
    </row>
    <row r="7" spans="1:13" x14ac:dyDescent="0.35">
      <c r="A7" s="5"/>
      <c r="B7" s="5"/>
      <c r="C7" s="5"/>
      <c r="D7" s="5"/>
      <c r="E7" s="5"/>
      <c r="F7" s="5"/>
      <c r="G7" s="5"/>
      <c r="H7" s="5"/>
      <c r="I7" s="5"/>
      <c r="J7" s="5"/>
      <c r="K7" s="5"/>
      <c r="L7" s="5"/>
      <c r="M7" s="5"/>
    </row>
    <row r="8" spans="1:13" x14ac:dyDescent="0.35">
      <c r="A8" s="5"/>
      <c r="B8" s="5"/>
      <c r="C8" s="5"/>
      <c r="D8" s="5"/>
      <c r="E8" s="5"/>
      <c r="F8" s="5"/>
      <c r="G8" s="5"/>
      <c r="H8" s="5"/>
      <c r="I8" s="5"/>
      <c r="J8" s="5"/>
      <c r="K8" s="5"/>
      <c r="L8" s="5"/>
      <c r="M8" s="5"/>
    </row>
    <row r="9" spans="1:13" x14ac:dyDescent="0.35">
      <c r="A9" s="5"/>
      <c r="B9" s="5"/>
      <c r="C9" s="5"/>
      <c r="D9" s="5"/>
      <c r="E9" s="5"/>
      <c r="F9" s="5"/>
      <c r="G9" s="5"/>
      <c r="H9" s="5"/>
      <c r="I9" s="5"/>
      <c r="J9" s="5"/>
      <c r="K9" s="5"/>
      <c r="L9" s="5"/>
      <c r="M9" s="5"/>
    </row>
    <row r="10" spans="1:13" x14ac:dyDescent="0.35">
      <c r="A10" s="5"/>
      <c r="B10" s="5"/>
      <c r="C10" s="5"/>
      <c r="D10" s="5"/>
      <c r="E10" s="5"/>
      <c r="F10" s="5"/>
      <c r="G10" s="5"/>
      <c r="H10" s="5"/>
      <c r="I10" s="5"/>
      <c r="J10" s="5"/>
      <c r="K10" s="5"/>
      <c r="L10" s="5"/>
      <c r="M10" s="5"/>
    </row>
    <row r="11" spans="1:13" x14ac:dyDescent="0.35">
      <c r="A11" s="5"/>
      <c r="B11" s="5"/>
      <c r="C11" s="5"/>
      <c r="D11" s="5"/>
      <c r="E11" s="5"/>
      <c r="F11" s="5"/>
      <c r="G11" s="5"/>
      <c r="H11" s="5"/>
      <c r="I11" s="5"/>
      <c r="J11" s="5"/>
      <c r="K11" s="5"/>
      <c r="L11" s="5"/>
      <c r="M11" s="5"/>
    </row>
    <row r="12" spans="1:13" x14ac:dyDescent="0.35">
      <c r="A12" s="5"/>
      <c r="B12" s="5"/>
      <c r="C12" s="5"/>
      <c r="D12" s="5"/>
      <c r="E12" s="5"/>
      <c r="F12" s="5"/>
      <c r="G12" s="5"/>
      <c r="H12" s="5"/>
      <c r="I12" s="5"/>
      <c r="J12" s="5"/>
      <c r="K12" s="5"/>
      <c r="L12" s="5"/>
      <c r="M12" s="5"/>
    </row>
    <row r="13" spans="1:13" x14ac:dyDescent="0.35">
      <c r="A13" s="5"/>
      <c r="B13" s="5"/>
      <c r="C13" s="5"/>
      <c r="D13" s="5"/>
      <c r="E13" s="5"/>
      <c r="F13" s="5"/>
      <c r="G13" s="5"/>
      <c r="H13" s="5"/>
      <c r="I13" s="5"/>
      <c r="J13" s="5"/>
      <c r="K13" s="5"/>
      <c r="L13" s="5"/>
      <c r="M13" s="5"/>
    </row>
    <row r="14" spans="1:13" x14ac:dyDescent="0.35">
      <c r="A14" s="5"/>
      <c r="B14" s="5"/>
      <c r="C14" s="5"/>
      <c r="D14" s="5"/>
      <c r="E14" s="5"/>
      <c r="F14" s="5"/>
      <c r="G14" s="5"/>
      <c r="H14" s="5"/>
      <c r="I14" s="5"/>
      <c r="J14" s="5"/>
      <c r="K14" s="5"/>
      <c r="L14" s="5"/>
      <c r="M14" s="5"/>
    </row>
    <row r="15" spans="1:13" x14ac:dyDescent="0.35">
      <c r="A15" s="5"/>
      <c r="B15" s="5"/>
      <c r="C15" s="5"/>
      <c r="D15" s="5"/>
      <c r="E15" s="5"/>
      <c r="F15" s="5"/>
      <c r="G15" s="5"/>
      <c r="H15" s="5"/>
      <c r="I15" s="5"/>
      <c r="J15" s="5"/>
      <c r="K15" s="5"/>
      <c r="L15" s="5"/>
      <c r="M15" s="5"/>
    </row>
    <row r="16" spans="1:13" x14ac:dyDescent="0.35">
      <c r="A16" s="5"/>
      <c r="B16" s="5"/>
      <c r="C16" s="6" t="s">
        <v>6</v>
      </c>
      <c r="D16" s="5"/>
      <c r="E16" s="5"/>
      <c r="F16" s="5"/>
      <c r="G16" s="5"/>
      <c r="H16" s="5"/>
      <c r="I16" s="5"/>
      <c r="J16" s="5"/>
      <c r="K16" s="5"/>
      <c r="L16" s="5"/>
      <c r="M16" s="5"/>
    </row>
    <row r="17" spans="1:13" x14ac:dyDescent="0.35">
      <c r="A17" s="5"/>
      <c r="B17" s="5"/>
      <c r="C17" s="5"/>
      <c r="D17" s="5"/>
      <c r="E17" s="5"/>
      <c r="F17" s="5"/>
      <c r="G17" s="5"/>
      <c r="H17" s="5"/>
      <c r="I17" s="5"/>
      <c r="J17" s="5"/>
      <c r="K17" s="5"/>
      <c r="L17" s="5"/>
      <c r="M17" s="5"/>
    </row>
    <row r="18" spans="1:13" x14ac:dyDescent="0.35">
      <c r="A18" s="5"/>
      <c r="B18" s="5"/>
      <c r="C18" s="5"/>
      <c r="D18" s="5"/>
      <c r="E18" s="5"/>
      <c r="F18" s="5"/>
      <c r="G18" s="5"/>
      <c r="H18" s="5"/>
      <c r="I18" s="5"/>
      <c r="J18" s="5"/>
      <c r="K18" s="5"/>
      <c r="L18" s="5"/>
      <c r="M18" s="5"/>
    </row>
    <row r="19" spans="1:13" x14ac:dyDescent="0.35">
      <c r="A19" s="5"/>
      <c r="B19" s="5"/>
      <c r="C19" s="5"/>
      <c r="D19" s="5"/>
      <c r="E19" s="5"/>
      <c r="F19" s="5"/>
      <c r="G19" s="5"/>
      <c r="H19" s="5"/>
      <c r="I19" s="5"/>
      <c r="J19" s="5"/>
      <c r="K19" s="5"/>
      <c r="L19" s="5"/>
      <c r="M19" s="5"/>
    </row>
    <row r="20" spans="1:13" x14ac:dyDescent="0.35">
      <c r="A20" s="5"/>
      <c r="B20" s="5"/>
      <c r="C20" s="5"/>
      <c r="D20" s="5"/>
      <c r="E20" s="5"/>
      <c r="F20" s="5"/>
      <c r="G20" s="5"/>
      <c r="H20" s="5"/>
      <c r="I20" s="5"/>
      <c r="J20" s="5"/>
      <c r="K20" s="5"/>
      <c r="L20" s="5"/>
      <c r="M20" s="5"/>
    </row>
    <row r="21" spans="1:13" x14ac:dyDescent="0.35">
      <c r="A21" s="5"/>
      <c r="B21" s="5"/>
      <c r="C21" s="5"/>
      <c r="D21" s="5"/>
      <c r="E21" s="5"/>
      <c r="F21" s="5"/>
      <c r="G21" s="5"/>
      <c r="H21" s="5"/>
      <c r="I21" s="5"/>
      <c r="J21" s="5"/>
      <c r="K21" s="5"/>
      <c r="L21" s="5"/>
      <c r="M21" s="5"/>
    </row>
    <row r="22" spans="1:13" x14ac:dyDescent="0.35">
      <c r="A22" s="5"/>
      <c r="B22" s="5"/>
      <c r="C22" s="5"/>
      <c r="D22" s="5"/>
      <c r="E22" s="5"/>
      <c r="F22" s="5"/>
      <c r="G22" s="5"/>
      <c r="H22" s="5"/>
      <c r="I22" s="5"/>
      <c r="J22" s="5"/>
      <c r="K22" s="5"/>
      <c r="L22" s="5"/>
      <c r="M22" s="5"/>
    </row>
  </sheetData>
  <customSheetViews>
    <customSheetView guid="{43D69128-5FBF-4F1E-B7E6-C81745E8C0E4}" scale="120" showGridLines="0">
      <pageMargins left="0.7" right="0.7" top="0.75" bottom="0.75" header="0.3" footer="0.3"/>
    </customSheetView>
  </customSheetView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283D-8253-4B5F-992D-9B1FD983ED85}">
  <dimension ref="A1:O24"/>
  <sheetViews>
    <sheetView showGridLines="0" workbookViewId="0">
      <selection activeCell="A3" sqref="A3"/>
    </sheetView>
  </sheetViews>
  <sheetFormatPr defaultRowHeight="14.5" x14ac:dyDescent="0.35"/>
  <sheetData>
    <row r="1" spans="1:15" x14ac:dyDescent="0.35">
      <c r="A1" s="5"/>
      <c r="B1" s="5"/>
      <c r="C1" s="5"/>
      <c r="D1" s="5"/>
      <c r="E1" s="5"/>
      <c r="F1" s="5"/>
      <c r="G1" s="5"/>
      <c r="H1" s="5"/>
      <c r="I1" s="5"/>
      <c r="J1" s="5"/>
      <c r="K1" s="5"/>
      <c r="L1" s="5"/>
      <c r="M1" s="5"/>
      <c r="N1" s="5"/>
      <c r="O1" s="5"/>
    </row>
    <row r="2" spans="1:15" x14ac:dyDescent="0.35">
      <c r="A2" s="5"/>
      <c r="B2" s="5"/>
      <c r="C2" s="5"/>
      <c r="D2" s="5"/>
      <c r="E2" s="5"/>
      <c r="F2" s="5"/>
      <c r="G2" s="5"/>
      <c r="H2" s="5"/>
      <c r="I2" s="5"/>
      <c r="J2" s="5"/>
      <c r="K2" s="5"/>
      <c r="L2" s="5"/>
      <c r="M2" s="5"/>
      <c r="N2" s="5"/>
      <c r="O2" s="5"/>
    </row>
    <row r="3" spans="1:15" x14ac:dyDescent="0.35">
      <c r="A3" s="5"/>
      <c r="B3" s="5"/>
      <c r="C3" s="5"/>
      <c r="D3" s="5"/>
      <c r="E3" s="5"/>
      <c r="F3" s="5"/>
      <c r="G3" s="5"/>
      <c r="H3" s="5"/>
      <c r="I3" s="5"/>
      <c r="J3" s="5"/>
      <c r="K3" s="5"/>
      <c r="L3" s="5"/>
      <c r="M3" s="5"/>
      <c r="N3" s="5"/>
      <c r="O3" s="5"/>
    </row>
    <row r="4" spans="1:15" x14ac:dyDescent="0.35">
      <c r="A4" s="5"/>
      <c r="B4" s="5"/>
      <c r="C4" s="5"/>
      <c r="D4" s="5"/>
      <c r="E4" s="5"/>
      <c r="F4" s="5"/>
      <c r="G4" s="5"/>
      <c r="H4" s="5"/>
      <c r="I4" s="5"/>
      <c r="J4" s="5"/>
      <c r="K4" s="5"/>
      <c r="L4" s="5"/>
      <c r="M4" s="5"/>
      <c r="N4" s="5"/>
      <c r="O4" s="5"/>
    </row>
    <row r="5" spans="1:15" x14ac:dyDescent="0.35">
      <c r="A5" s="5"/>
      <c r="B5" s="5"/>
      <c r="C5" s="5"/>
      <c r="D5" s="5"/>
      <c r="E5" s="5"/>
      <c r="F5" s="5"/>
      <c r="G5" s="5"/>
      <c r="H5" s="5"/>
      <c r="I5" s="5"/>
      <c r="J5" s="5"/>
      <c r="K5" s="5"/>
      <c r="L5" s="5"/>
      <c r="M5" s="5"/>
      <c r="N5" s="5"/>
      <c r="O5" s="5"/>
    </row>
    <row r="6" spans="1:15" x14ac:dyDescent="0.35">
      <c r="A6" s="5"/>
      <c r="B6" s="5"/>
      <c r="C6" s="5"/>
      <c r="D6" s="5"/>
      <c r="E6" s="5"/>
      <c r="F6" s="5"/>
      <c r="G6" s="5"/>
      <c r="H6" s="5"/>
      <c r="I6" s="5"/>
      <c r="J6" s="5"/>
      <c r="K6" s="5"/>
      <c r="L6" s="5"/>
      <c r="M6" s="5"/>
      <c r="N6" s="5"/>
      <c r="O6" s="5"/>
    </row>
    <row r="7" spans="1:15" x14ac:dyDescent="0.35">
      <c r="A7" s="5"/>
      <c r="B7" s="5"/>
      <c r="C7" s="5"/>
      <c r="D7" s="5"/>
      <c r="E7" s="5"/>
      <c r="F7" s="5"/>
      <c r="G7" s="5"/>
      <c r="H7" s="5"/>
      <c r="I7" s="5"/>
      <c r="J7" s="5"/>
      <c r="K7" s="5"/>
      <c r="L7" s="5"/>
      <c r="M7" s="5"/>
      <c r="N7" s="5"/>
      <c r="O7" s="5"/>
    </row>
    <row r="8" spans="1:15" x14ac:dyDescent="0.35">
      <c r="A8" s="5"/>
      <c r="B8" s="5"/>
      <c r="C8" s="5"/>
      <c r="D8" s="5"/>
      <c r="E8" s="5"/>
      <c r="F8" s="5"/>
      <c r="G8" s="5"/>
      <c r="H8" s="5"/>
      <c r="I8" s="5"/>
      <c r="J8" s="5"/>
      <c r="K8" s="5"/>
      <c r="L8" s="5"/>
      <c r="M8" s="5"/>
      <c r="N8" s="5"/>
      <c r="O8" s="5"/>
    </row>
    <row r="9" spans="1:15" x14ac:dyDescent="0.35">
      <c r="A9" s="5"/>
      <c r="B9" s="5"/>
      <c r="C9" s="5"/>
      <c r="D9" s="5"/>
      <c r="E9" s="5"/>
      <c r="F9" s="5"/>
      <c r="G9" s="5"/>
      <c r="H9" s="5"/>
      <c r="I9" s="5"/>
      <c r="J9" s="5"/>
      <c r="K9" s="5"/>
      <c r="L9" s="5"/>
      <c r="M9" s="5"/>
      <c r="N9" s="5"/>
      <c r="O9" s="5"/>
    </row>
    <row r="10" spans="1:15" x14ac:dyDescent="0.35">
      <c r="A10" s="5"/>
      <c r="B10" s="5"/>
      <c r="C10" s="5"/>
      <c r="D10" s="5"/>
      <c r="E10" s="5"/>
      <c r="F10" s="5"/>
      <c r="G10" s="5"/>
      <c r="H10" s="5"/>
      <c r="I10" s="5"/>
      <c r="J10" s="5"/>
      <c r="K10" s="5"/>
      <c r="L10" s="5"/>
      <c r="M10" s="5"/>
      <c r="N10" s="5"/>
      <c r="O10" s="5"/>
    </row>
    <row r="11" spans="1:15" x14ac:dyDescent="0.35">
      <c r="A11" s="5"/>
      <c r="B11" s="5"/>
      <c r="C11" s="5"/>
      <c r="D11" s="5"/>
      <c r="E11" s="5"/>
      <c r="F11" s="5"/>
      <c r="G11" s="5"/>
      <c r="H11" s="5"/>
      <c r="I11" s="5"/>
      <c r="J11" s="5"/>
      <c r="K11" s="5"/>
      <c r="L11" s="5"/>
      <c r="M11" s="5"/>
      <c r="N11" s="5"/>
      <c r="O11" s="5"/>
    </row>
    <row r="12" spans="1:15" x14ac:dyDescent="0.35">
      <c r="A12" s="5"/>
      <c r="B12" s="5"/>
      <c r="C12" s="5"/>
      <c r="D12" s="5"/>
      <c r="E12" s="5"/>
      <c r="F12" s="5"/>
      <c r="G12" s="5"/>
      <c r="H12" s="5"/>
      <c r="I12" s="5"/>
      <c r="J12" s="5"/>
      <c r="K12" s="5"/>
      <c r="L12" s="5"/>
      <c r="M12" s="5"/>
      <c r="N12" s="5"/>
      <c r="O12" s="5"/>
    </row>
    <row r="13" spans="1:15" x14ac:dyDescent="0.35">
      <c r="A13" s="5"/>
      <c r="B13" s="5"/>
      <c r="C13" s="5"/>
      <c r="D13" s="5"/>
      <c r="E13" s="5"/>
      <c r="F13" s="5"/>
      <c r="G13" s="5"/>
      <c r="H13" s="5"/>
      <c r="I13" s="5"/>
      <c r="J13" s="5"/>
      <c r="K13" s="5"/>
      <c r="L13" s="5"/>
      <c r="M13" s="5"/>
      <c r="N13" s="5"/>
      <c r="O13" s="5"/>
    </row>
    <row r="14" spans="1:15" x14ac:dyDescent="0.35">
      <c r="A14" s="5"/>
      <c r="B14" s="5"/>
      <c r="C14" s="5"/>
      <c r="D14" s="5"/>
      <c r="E14" s="5"/>
      <c r="F14" s="5"/>
      <c r="G14" s="5"/>
      <c r="H14" s="5"/>
      <c r="I14" s="5"/>
      <c r="J14" s="5"/>
      <c r="K14" s="5"/>
      <c r="L14" s="5"/>
      <c r="M14" s="5"/>
      <c r="N14" s="5"/>
      <c r="O14" s="5"/>
    </row>
    <row r="15" spans="1:15" x14ac:dyDescent="0.35">
      <c r="A15" s="5"/>
      <c r="B15" s="5"/>
      <c r="C15" s="5"/>
      <c r="D15" s="5"/>
      <c r="E15" s="5"/>
      <c r="F15" s="5"/>
      <c r="G15" s="5"/>
      <c r="H15" s="5"/>
      <c r="I15" s="5"/>
      <c r="J15" s="5"/>
      <c r="K15" s="5"/>
      <c r="L15" s="5"/>
      <c r="M15" s="5"/>
      <c r="N15" s="5"/>
      <c r="O15" s="5"/>
    </row>
    <row r="16" spans="1:15" x14ac:dyDescent="0.35">
      <c r="A16" s="5"/>
      <c r="B16" s="5"/>
      <c r="C16" s="5"/>
      <c r="D16" s="5"/>
      <c r="E16" s="5"/>
      <c r="F16" s="5"/>
      <c r="G16" s="5"/>
      <c r="H16" s="5"/>
      <c r="I16" s="5"/>
      <c r="J16" s="5"/>
      <c r="K16" s="5"/>
      <c r="L16" s="5"/>
      <c r="M16" s="5"/>
      <c r="N16" s="5"/>
      <c r="O16" s="5"/>
    </row>
    <row r="17" spans="1:15" x14ac:dyDescent="0.35">
      <c r="A17" s="5"/>
      <c r="B17" s="5"/>
      <c r="C17" s="5"/>
      <c r="D17" s="5"/>
      <c r="E17" s="5"/>
      <c r="F17" s="5"/>
      <c r="G17" s="5"/>
      <c r="H17" s="5"/>
      <c r="I17" s="5"/>
      <c r="J17" s="5"/>
      <c r="K17" s="5"/>
      <c r="L17" s="5"/>
      <c r="M17" s="5"/>
      <c r="N17" s="5"/>
      <c r="O17" s="5"/>
    </row>
    <row r="18" spans="1:15" x14ac:dyDescent="0.35">
      <c r="A18" s="5"/>
      <c r="B18" s="5"/>
      <c r="C18" s="5"/>
      <c r="D18" s="5"/>
      <c r="E18" s="5"/>
      <c r="F18" s="5"/>
      <c r="G18" s="5"/>
      <c r="H18" s="5"/>
      <c r="I18" s="5"/>
      <c r="J18" s="5"/>
      <c r="K18" s="5"/>
      <c r="L18" s="5"/>
      <c r="M18" s="5"/>
      <c r="N18" s="5"/>
      <c r="O18" s="5"/>
    </row>
    <row r="19" spans="1:15" x14ac:dyDescent="0.35">
      <c r="A19" s="5"/>
      <c r="B19" s="5"/>
      <c r="C19" s="5"/>
      <c r="D19" s="5"/>
      <c r="E19" s="5"/>
      <c r="F19" s="5"/>
      <c r="G19" s="5"/>
      <c r="H19" s="5"/>
      <c r="I19" s="5"/>
      <c r="J19" s="5"/>
      <c r="K19" s="5"/>
      <c r="L19" s="5"/>
      <c r="M19" s="5"/>
      <c r="N19" s="5"/>
      <c r="O19" s="5"/>
    </row>
    <row r="20" spans="1:15" x14ac:dyDescent="0.35">
      <c r="A20" s="5"/>
      <c r="B20" s="5"/>
      <c r="C20" s="5"/>
      <c r="D20" s="5"/>
      <c r="E20" s="5"/>
      <c r="F20" s="5"/>
      <c r="G20" s="5"/>
      <c r="H20" s="5"/>
      <c r="I20" s="5"/>
      <c r="J20" s="5"/>
      <c r="K20" s="5"/>
      <c r="L20" s="5"/>
      <c r="M20" s="5"/>
      <c r="N20" s="5"/>
      <c r="O20" s="5"/>
    </row>
    <row r="21" spans="1:15" x14ac:dyDescent="0.35">
      <c r="A21" s="5"/>
      <c r="B21" s="5"/>
      <c r="C21" s="5"/>
      <c r="D21" s="5"/>
      <c r="E21" s="5"/>
      <c r="F21" s="5"/>
      <c r="G21" s="5"/>
      <c r="H21" s="5"/>
      <c r="I21" s="5"/>
      <c r="J21" s="5"/>
      <c r="K21" s="5"/>
      <c r="L21" s="5"/>
      <c r="M21" s="5"/>
      <c r="N21" s="5"/>
      <c r="O21" s="5"/>
    </row>
    <row r="22" spans="1:15" x14ac:dyDescent="0.35">
      <c r="A22" s="5"/>
      <c r="B22" s="5"/>
      <c r="C22" s="5"/>
      <c r="D22" s="5"/>
      <c r="E22" s="5"/>
      <c r="F22" s="5"/>
      <c r="G22" s="5"/>
      <c r="H22" s="5"/>
      <c r="I22" s="5"/>
      <c r="J22" s="5"/>
      <c r="K22" s="5"/>
      <c r="L22" s="5"/>
      <c r="M22" s="5"/>
      <c r="N22" s="5"/>
      <c r="O22" s="5"/>
    </row>
    <row r="23" spans="1:15" x14ac:dyDescent="0.35">
      <c r="A23" s="5"/>
      <c r="B23" s="5"/>
      <c r="C23" s="7" t="s">
        <v>10</v>
      </c>
      <c r="D23" s="5"/>
      <c r="E23" s="5"/>
      <c r="F23" s="5"/>
      <c r="G23" s="5"/>
      <c r="H23" s="5"/>
      <c r="I23" s="5"/>
      <c r="J23" s="5"/>
      <c r="K23" s="5"/>
      <c r="L23" s="5"/>
      <c r="M23" s="5"/>
      <c r="N23" s="5"/>
      <c r="O23" s="5"/>
    </row>
    <row r="24" spans="1:15" x14ac:dyDescent="0.35">
      <c r="A24" s="5"/>
      <c r="B24" s="5"/>
      <c r="C24" s="5"/>
      <c r="D24" s="5"/>
      <c r="E24" s="5"/>
      <c r="F24" s="5"/>
      <c r="G24" s="5"/>
      <c r="H24" s="5"/>
      <c r="I24" s="5"/>
      <c r="J24" s="5"/>
      <c r="K24" s="5"/>
      <c r="L24" s="5"/>
      <c r="M24" s="5"/>
      <c r="N24" s="5"/>
      <c r="O24" s="5"/>
    </row>
  </sheetData>
  <customSheetViews>
    <customSheetView guid="{43D69128-5FBF-4F1E-B7E6-C81745E8C0E4}" showGridLines="0">
      <selection activeCell="A3" sqref="A3"/>
      <pageMargins left="0.7" right="0.7" top="0.75" bottom="0.75" header="0.3" footer="0.3"/>
    </customSheetView>
  </customSheetView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171DE-D148-463D-B68D-2662D20D6B7A}">
  <dimension ref="A1:O24"/>
  <sheetViews>
    <sheetView showGridLines="0" zoomScale="110" zoomScaleNormal="110" workbookViewId="0">
      <selection activeCell="C22" sqref="C22"/>
    </sheetView>
  </sheetViews>
  <sheetFormatPr defaultRowHeight="14.5" x14ac:dyDescent="0.35"/>
  <sheetData>
    <row r="1" spans="1:15" x14ac:dyDescent="0.35">
      <c r="A1" s="5"/>
      <c r="B1" s="5"/>
      <c r="C1" s="5"/>
      <c r="D1" s="5"/>
      <c r="E1" s="5"/>
      <c r="F1" s="5"/>
      <c r="G1" s="5"/>
      <c r="H1" s="5"/>
      <c r="I1" s="5"/>
      <c r="J1" s="5"/>
      <c r="K1" s="5"/>
      <c r="L1" s="5"/>
      <c r="M1" s="5"/>
      <c r="N1" s="5"/>
      <c r="O1" s="5"/>
    </row>
    <row r="2" spans="1:15" x14ac:dyDescent="0.35">
      <c r="A2" s="5"/>
      <c r="B2" s="5"/>
      <c r="C2" s="5"/>
      <c r="D2" s="5"/>
      <c r="E2" s="5"/>
      <c r="F2" s="5"/>
      <c r="G2" s="5"/>
      <c r="H2" s="5"/>
      <c r="I2" s="5"/>
      <c r="J2" s="5"/>
      <c r="K2" s="5"/>
      <c r="L2" s="5"/>
      <c r="M2" s="5"/>
      <c r="N2" s="5"/>
      <c r="O2" s="5"/>
    </row>
    <row r="3" spans="1:15" x14ac:dyDescent="0.35">
      <c r="A3" s="5"/>
      <c r="B3" s="5"/>
      <c r="C3" s="5"/>
      <c r="D3" s="5"/>
      <c r="E3" s="5"/>
      <c r="F3" s="5"/>
      <c r="G3" s="5"/>
      <c r="H3" s="5"/>
      <c r="I3" s="5"/>
      <c r="J3" s="5"/>
      <c r="K3" s="5"/>
      <c r="L3" s="5"/>
      <c r="M3" s="5"/>
      <c r="N3" s="5"/>
      <c r="O3" s="5"/>
    </row>
    <row r="4" spans="1:15" x14ac:dyDescent="0.35">
      <c r="A4" s="5"/>
      <c r="B4" s="5"/>
      <c r="C4" s="5"/>
      <c r="D4" s="5"/>
      <c r="E4" s="5"/>
      <c r="F4" s="5"/>
      <c r="G4" s="5"/>
      <c r="H4" s="5"/>
      <c r="I4" s="5"/>
      <c r="J4" s="5"/>
      <c r="K4" s="5"/>
      <c r="L4" s="5"/>
      <c r="M4" s="5"/>
      <c r="N4" s="5"/>
      <c r="O4" s="5"/>
    </row>
    <row r="5" spans="1:15" x14ac:dyDescent="0.35">
      <c r="A5" s="5"/>
      <c r="B5" s="5"/>
      <c r="C5" s="5"/>
      <c r="D5" s="5"/>
      <c r="E5" s="5"/>
      <c r="F5" s="5"/>
      <c r="G5" s="5"/>
      <c r="H5" s="5"/>
      <c r="I5" s="5"/>
      <c r="J5" s="5"/>
      <c r="K5" s="5"/>
      <c r="L5" s="5"/>
      <c r="M5" s="5"/>
      <c r="N5" s="5"/>
      <c r="O5" s="5"/>
    </row>
    <row r="6" spans="1:15" x14ac:dyDescent="0.35">
      <c r="A6" s="5"/>
      <c r="B6" s="5"/>
      <c r="C6" s="5"/>
      <c r="D6" s="5"/>
      <c r="E6" s="5"/>
      <c r="F6" s="5"/>
      <c r="G6" s="5"/>
      <c r="H6" s="5"/>
      <c r="I6" s="5"/>
      <c r="J6" s="5"/>
      <c r="K6" s="5"/>
      <c r="L6" s="5"/>
      <c r="M6" s="5"/>
      <c r="N6" s="5"/>
      <c r="O6" s="5"/>
    </row>
    <row r="7" spans="1:15" x14ac:dyDescent="0.35">
      <c r="A7" s="5"/>
      <c r="B7" s="5"/>
      <c r="C7" s="5"/>
      <c r="D7" s="5"/>
      <c r="E7" s="5"/>
      <c r="F7" s="5"/>
      <c r="G7" s="5"/>
      <c r="H7" s="5"/>
      <c r="I7" s="5"/>
      <c r="J7" s="5"/>
      <c r="K7" s="5"/>
      <c r="L7" s="5"/>
      <c r="M7" s="5"/>
      <c r="N7" s="5"/>
      <c r="O7" s="5"/>
    </row>
    <row r="8" spans="1:15" x14ac:dyDescent="0.35">
      <c r="A8" s="5"/>
      <c r="B8" s="5"/>
      <c r="C8" s="5"/>
      <c r="D8" s="5"/>
      <c r="E8" s="5"/>
      <c r="F8" s="5"/>
      <c r="G8" s="5"/>
      <c r="H8" s="5"/>
      <c r="I8" s="5"/>
      <c r="J8" s="5"/>
      <c r="K8" s="5"/>
      <c r="L8" s="5"/>
      <c r="M8" s="5"/>
      <c r="N8" s="5"/>
      <c r="O8" s="5"/>
    </row>
    <row r="9" spans="1:15" x14ac:dyDescent="0.35">
      <c r="A9" s="5"/>
      <c r="B9" s="5"/>
      <c r="C9" s="5"/>
      <c r="D9" s="5"/>
      <c r="E9" s="5"/>
      <c r="F9" s="5"/>
      <c r="G9" s="5"/>
      <c r="H9" s="5"/>
      <c r="I9" s="5"/>
      <c r="J9" s="5"/>
      <c r="K9" s="5"/>
      <c r="L9" s="5"/>
      <c r="M9" s="5"/>
      <c r="N9" s="5"/>
      <c r="O9" s="5"/>
    </row>
    <row r="10" spans="1:15" x14ac:dyDescent="0.35">
      <c r="A10" s="5"/>
      <c r="B10" s="5"/>
      <c r="C10" s="5"/>
      <c r="D10" s="5"/>
      <c r="E10" s="5"/>
      <c r="F10" s="5"/>
      <c r="G10" s="5"/>
      <c r="H10" s="5"/>
      <c r="I10" s="5"/>
      <c r="J10" s="5"/>
      <c r="K10" s="5"/>
      <c r="L10" s="5"/>
      <c r="M10" s="5"/>
      <c r="N10" s="5"/>
      <c r="O10" s="5"/>
    </row>
    <row r="11" spans="1:15" x14ac:dyDescent="0.35">
      <c r="A11" s="5"/>
      <c r="B11" s="5"/>
      <c r="C11" s="5"/>
      <c r="D11" s="5"/>
      <c r="E11" s="5"/>
      <c r="F11" s="5"/>
      <c r="G11" s="5"/>
      <c r="H11" s="5"/>
      <c r="I11" s="5"/>
      <c r="J11" s="5"/>
      <c r="K11" s="5"/>
      <c r="L11" s="5"/>
      <c r="M11" s="5"/>
      <c r="N11" s="5"/>
      <c r="O11" s="5"/>
    </row>
    <row r="12" spans="1:15" x14ac:dyDescent="0.35">
      <c r="A12" s="5"/>
      <c r="B12" s="5"/>
      <c r="C12" s="5"/>
      <c r="D12" s="5"/>
      <c r="E12" s="5"/>
      <c r="F12" s="5"/>
      <c r="G12" s="5"/>
      <c r="H12" s="5"/>
      <c r="I12" s="5"/>
      <c r="J12" s="5"/>
      <c r="K12" s="5"/>
      <c r="L12" s="5"/>
      <c r="M12" s="5"/>
      <c r="N12" s="5"/>
      <c r="O12" s="5"/>
    </row>
    <row r="13" spans="1:15" x14ac:dyDescent="0.35">
      <c r="A13" s="5"/>
      <c r="B13" s="5"/>
      <c r="C13" s="5"/>
      <c r="D13" s="5"/>
      <c r="E13" s="5"/>
      <c r="F13" s="5"/>
      <c r="G13" s="5"/>
      <c r="H13" s="5"/>
      <c r="I13" s="5"/>
      <c r="J13" s="5"/>
      <c r="K13" s="5"/>
      <c r="L13" s="5"/>
      <c r="M13" s="5"/>
      <c r="N13" s="5"/>
      <c r="O13" s="5"/>
    </row>
    <row r="14" spans="1:15" x14ac:dyDescent="0.35">
      <c r="A14" s="5"/>
      <c r="B14" s="5"/>
      <c r="C14" s="5"/>
      <c r="D14" s="5"/>
      <c r="E14" s="5"/>
      <c r="F14" s="5"/>
      <c r="G14" s="5"/>
      <c r="H14" s="5"/>
      <c r="I14" s="5"/>
      <c r="J14" s="5"/>
      <c r="K14" s="5"/>
      <c r="L14" s="5"/>
      <c r="M14" s="5"/>
      <c r="N14" s="5"/>
      <c r="O14" s="5"/>
    </row>
    <row r="15" spans="1:15" x14ac:dyDescent="0.35">
      <c r="A15" s="5"/>
      <c r="B15" s="5"/>
      <c r="C15" s="5"/>
      <c r="D15" s="5"/>
      <c r="E15" s="5"/>
      <c r="F15" s="5"/>
      <c r="G15" s="5"/>
      <c r="H15" s="5"/>
      <c r="I15" s="5"/>
      <c r="J15" s="5"/>
      <c r="K15" s="5"/>
      <c r="L15" s="5"/>
      <c r="M15" s="5"/>
      <c r="N15" s="5"/>
      <c r="O15" s="5"/>
    </row>
    <row r="16" spans="1:15" x14ac:dyDescent="0.35">
      <c r="A16" s="5"/>
      <c r="B16" s="5"/>
      <c r="C16" s="5"/>
      <c r="D16" s="5"/>
      <c r="E16" s="5"/>
      <c r="F16" s="5"/>
      <c r="G16" s="5"/>
      <c r="H16" s="5"/>
      <c r="I16" s="5"/>
      <c r="J16" s="5"/>
      <c r="K16" s="5"/>
      <c r="L16" s="5"/>
      <c r="M16" s="5"/>
      <c r="N16" s="5"/>
      <c r="O16" s="5"/>
    </row>
    <row r="17" spans="1:15" x14ac:dyDescent="0.35">
      <c r="A17" s="5"/>
      <c r="B17" s="5"/>
      <c r="C17" s="5"/>
      <c r="D17" s="5"/>
      <c r="E17" s="5"/>
      <c r="F17" s="5"/>
      <c r="G17" s="5"/>
      <c r="H17" s="5"/>
      <c r="I17" s="5"/>
      <c r="J17" s="5"/>
      <c r="K17" s="5"/>
      <c r="L17" s="5"/>
      <c r="M17" s="5"/>
      <c r="N17" s="5"/>
      <c r="O17" s="5"/>
    </row>
    <row r="18" spans="1:15" x14ac:dyDescent="0.35">
      <c r="A18" s="5"/>
      <c r="B18" s="5"/>
      <c r="C18" s="5"/>
      <c r="D18" s="5"/>
      <c r="E18" s="5"/>
      <c r="F18" s="5"/>
      <c r="G18" s="5"/>
      <c r="H18" s="5"/>
      <c r="I18" s="5"/>
      <c r="J18" s="5"/>
      <c r="K18" s="5"/>
      <c r="L18" s="5"/>
      <c r="M18" s="5"/>
      <c r="N18" s="5"/>
      <c r="O18" s="5"/>
    </row>
    <row r="19" spans="1:15" x14ac:dyDescent="0.35">
      <c r="A19" s="5"/>
      <c r="B19" s="5"/>
      <c r="C19" s="5"/>
      <c r="D19" s="5"/>
      <c r="E19" s="5"/>
      <c r="F19" s="5"/>
      <c r="G19" s="5"/>
      <c r="H19" s="5"/>
      <c r="I19" s="5"/>
      <c r="J19" s="5"/>
      <c r="K19" s="5"/>
      <c r="L19" s="5"/>
      <c r="M19" s="5"/>
      <c r="N19" s="5"/>
      <c r="O19" s="5"/>
    </row>
    <row r="20" spans="1:15" x14ac:dyDescent="0.35">
      <c r="A20" s="5"/>
      <c r="B20" s="5"/>
      <c r="C20" s="5"/>
      <c r="D20" s="5"/>
      <c r="E20" s="5"/>
      <c r="F20" s="5"/>
      <c r="G20" s="5"/>
      <c r="H20" s="5"/>
      <c r="I20" s="5"/>
      <c r="J20" s="5"/>
      <c r="K20" s="5"/>
      <c r="L20" s="5"/>
      <c r="M20" s="5"/>
      <c r="N20" s="5"/>
      <c r="O20" s="5"/>
    </row>
    <row r="21" spans="1:15" x14ac:dyDescent="0.35">
      <c r="A21" s="5"/>
      <c r="B21" s="5"/>
      <c r="C21" s="7" t="s">
        <v>11</v>
      </c>
      <c r="D21" s="5"/>
      <c r="E21" s="5"/>
      <c r="F21" s="5"/>
      <c r="G21" s="5"/>
      <c r="H21" s="5"/>
      <c r="I21" s="5"/>
      <c r="J21" s="5"/>
      <c r="K21" s="5"/>
      <c r="L21" s="5"/>
      <c r="M21" s="5"/>
      <c r="N21" s="5"/>
      <c r="O21" s="5"/>
    </row>
    <row r="22" spans="1:15" x14ac:dyDescent="0.35">
      <c r="A22" s="5"/>
      <c r="B22" s="5"/>
      <c r="C22" s="5"/>
      <c r="D22" s="5"/>
      <c r="E22" s="5"/>
      <c r="F22" s="5"/>
      <c r="G22" s="5"/>
      <c r="H22" s="5"/>
      <c r="I22" s="5"/>
      <c r="J22" s="5"/>
      <c r="K22" s="5"/>
      <c r="L22" s="5"/>
      <c r="M22" s="5"/>
      <c r="N22" s="5"/>
      <c r="O22" s="5"/>
    </row>
    <row r="23" spans="1:15" x14ac:dyDescent="0.35">
      <c r="A23" s="5"/>
      <c r="B23" s="5"/>
      <c r="C23" s="5"/>
      <c r="D23" s="5"/>
      <c r="E23" s="5"/>
      <c r="F23" s="5"/>
      <c r="G23" s="5"/>
      <c r="H23" s="5"/>
      <c r="I23" s="5"/>
      <c r="J23" s="5"/>
      <c r="K23" s="5"/>
      <c r="L23" s="5"/>
      <c r="M23" s="5"/>
      <c r="N23" s="5"/>
      <c r="O23" s="5"/>
    </row>
    <row r="24" spans="1:15" x14ac:dyDescent="0.35">
      <c r="A24" s="5"/>
      <c r="B24" s="5"/>
      <c r="C24" s="5"/>
      <c r="D24" s="5"/>
      <c r="E24" s="5"/>
      <c r="F24" s="5"/>
      <c r="G24" s="5"/>
      <c r="H24" s="5"/>
      <c r="I24" s="5"/>
      <c r="J24" s="5"/>
      <c r="K24" s="5"/>
      <c r="L24" s="5"/>
      <c r="M24" s="5"/>
      <c r="N24" s="5"/>
      <c r="O24" s="5"/>
    </row>
  </sheetData>
  <customSheetViews>
    <customSheetView guid="{43D69128-5FBF-4F1E-B7E6-C81745E8C0E4}" scale="110" showGridLines="0">
      <selection activeCell="C22" sqref="C22"/>
      <pageMargins left="0.7" right="0.7" top="0.75" bottom="0.75" header="0.3" footer="0.3"/>
    </customSheetView>
  </customSheetView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B08D07C-8FCF-48E7-8AB9-BC0210C7593F}">
  <ds:schemaRefs/>
</ds:datastoreItem>
</file>

<file path=customXml/itemProps2.xml><?xml version="1.0" encoding="utf-8"?>
<ds:datastoreItem xmlns:ds="http://schemas.openxmlformats.org/officeDocument/2006/customXml" ds:itemID="{95E86987-0B5D-4EDD-B195-08E38055B069}">
  <ds:schemaRefs/>
</ds:datastoreItem>
</file>

<file path=customXml/itemProps3.xml><?xml version="1.0" encoding="utf-8"?>
<ds:datastoreItem xmlns:ds="http://schemas.openxmlformats.org/officeDocument/2006/customXml" ds:itemID="{9FD78178-A0AD-4D46-8DBB-8234E1030113}">
  <ds:schemaRefs/>
</ds:datastoreItem>
</file>

<file path=customXml/itemProps4.xml><?xml version="1.0" encoding="utf-8"?>
<ds:datastoreItem xmlns:ds="http://schemas.openxmlformats.org/officeDocument/2006/customXml" ds:itemID="{2DCDBB98-23D6-4CB7-98E0-5F44B03C3618}">
  <ds:schemaRefs/>
</ds:datastoreItem>
</file>

<file path=customXml/itemProps5.xml><?xml version="1.0" encoding="utf-8"?>
<ds:datastoreItem xmlns:ds="http://schemas.openxmlformats.org/officeDocument/2006/customXml" ds:itemID="{5C6E03AF-32EE-42B2-80ED-F6EF8D3D5234}">
  <ds:schemaRefs/>
</ds:datastoreItem>
</file>

<file path=customXml/itemProps6.xml><?xml version="1.0" encoding="utf-8"?>
<ds:datastoreItem xmlns:ds="http://schemas.openxmlformats.org/officeDocument/2006/customXml" ds:itemID="{D2B11A81-67A5-4367-9472-806D0A46B8F7}">
  <ds:schemaRefs/>
</ds:datastoreItem>
</file>

<file path=customXml/itemProps7.xml><?xml version="1.0" encoding="utf-8"?>
<ds:datastoreItem xmlns:ds="http://schemas.openxmlformats.org/officeDocument/2006/customXml" ds:itemID="{031B69C4-E580-495E-A5A1-18410D0BFF25}">
  <ds:schemaRefs/>
</ds:datastoreItem>
</file>

<file path=customXml/itemProps8.xml><?xml version="1.0" encoding="utf-8"?>
<ds:datastoreItem xmlns:ds="http://schemas.openxmlformats.org/officeDocument/2006/customXml" ds:itemID="{BB50F137-7C84-40C7-8DD9-F4EDB1F8C0D8}">
  <ds:schemaRefs/>
</ds:datastoreItem>
</file>

<file path=customXml/itemProps9.xml><?xml version="1.0" encoding="utf-8"?>
<ds:datastoreItem xmlns:ds="http://schemas.openxmlformats.org/officeDocument/2006/customXml" ds:itemID="{BF9DDB80-A956-4D2E-B605-B1FB0D5CFE3E}">
  <ds:schemaRefs/>
</ds:datastoreItem>
</file>

<file path=customXml/itemProps10.xml><?xml version="1.0" encoding="utf-8"?>
<ds:datastoreItem xmlns:ds="http://schemas.openxmlformats.org/officeDocument/2006/customXml" ds:itemID="{8153A94E-78C2-40D4-B849-C823FB8BDB7C}">
  <ds:schemaRefs>
    <ds:schemaRef ds:uri="http://schemas.microsoft.com/DataMashup"/>
  </ds:schemaRefs>
</ds:datastoreItem>
</file>

<file path=customXml/itemProps11.xml><?xml version="1.0" encoding="utf-8"?>
<ds:datastoreItem xmlns:ds="http://schemas.openxmlformats.org/officeDocument/2006/customXml" ds:itemID="{6FE9020A-1D3D-4CDB-B779-41591146130D}">
  <ds:schemaRefs/>
</ds:datastoreItem>
</file>

<file path=customXml/itemProps12.xml><?xml version="1.0" encoding="utf-8"?>
<ds:datastoreItem xmlns:ds="http://schemas.openxmlformats.org/officeDocument/2006/customXml" ds:itemID="{77026E46-D1BB-4F0D-9276-6A16C1A1A9BA}">
  <ds:schemaRefs/>
</ds:datastoreItem>
</file>

<file path=customXml/itemProps13.xml><?xml version="1.0" encoding="utf-8"?>
<ds:datastoreItem xmlns:ds="http://schemas.openxmlformats.org/officeDocument/2006/customXml" ds:itemID="{1F8A5821-C97C-4D9F-865C-0CA13277441B}">
  <ds:schemaRefs/>
</ds:datastoreItem>
</file>

<file path=customXml/itemProps14.xml><?xml version="1.0" encoding="utf-8"?>
<ds:datastoreItem xmlns:ds="http://schemas.openxmlformats.org/officeDocument/2006/customXml" ds:itemID="{856F0174-DD1A-4B8F-97D6-67FD5A4D9A39}">
  <ds:schemaRefs/>
</ds:datastoreItem>
</file>

<file path=customXml/itemProps15.xml><?xml version="1.0" encoding="utf-8"?>
<ds:datastoreItem xmlns:ds="http://schemas.openxmlformats.org/officeDocument/2006/customXml" ds:itemID="{BEAC1F03-D92F-4465-8A8C-31CD51015590}">
  <ds:schemaRefs/>
</ds:datastoreItem>
</file>

<file path=customXml/itemProps16.xml><?xml version="1.0" encoding="utf-8"?>
<ds:datastoreItem xmlns:ds="http://schemas.openxmlformats.org/officeDocument/2006/customXml" ds:itemID="{78061C9A-55D6-4997-9F52-E607BFE81116}">
  <ds:schemaRefs/>
</ds:datastoreItem>
</file>

<file path=customXml/itemProps17.xml><?xml version="1.0" encoding="utf-8"?>
<ds:datastoreItem xmlns:ds="http://schemas.openxmlformats.org/officeDocument/2006/customXml" ds:itemID="{37B0985F-D42F-4EFD-8B14-8ADABF09AD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Average wait time daily trend</vt:lpstr>
      <vt:lpstr>Avg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Chotwani</dc:creator>
  <cp:lastModifiedBy>Bharat Chotwani</cp:lastModifiedBy>
  <dcterms:created xsi:type="dcterms:W3CDTF">2026-09-02T11:04:40Z</dcterms:created>
  <dcterms:modified xsi:type="dcterms:W3CDTF">2026-09-06T16:53:40Z</dcterms:modified>
</cp:coreProperties>
</file>